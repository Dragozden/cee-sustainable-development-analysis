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Yatta\Desktop\Projekt MAD\"/>
    </mc:Choice>
  </mc:AlternateContent>
  <xr:revisionPtr revIDLastSave="4" documentId="13_ncr:1_{507643D9-6ACA-4C95-AF74-04CFA5CF839E}" xr6:coauthVersionLast="47" xr6:coauthVersionMax="47" xr10:uidLastSave="{53A232B6-6D7B-4152-AEDB-9B629917A18A}"/>
  <bookViews>
    <workbookView xWindow="5895" yWindow="4185" windowWidth="21600" windowHeight="11295" firstSheet="2" activeTab="6" xr2:uid="{DBF973E7-320D-4787-AE59-42DED8905BC5}"/>
  </bookViews>
  <sheets>
    <sheet name="Opis" sheetId="9" r:id="rId1"/>
    <sheet name="Wstępna analiza" sheetId="1" r:id="rId2"/>
    <sheet name="Standaryzacja" sheetId="3" r:id="rId3"/>
    <sheet name="Unitaryzacja" sheetId="5" r:id="rId4"/>
    <sheet name="Podsumowanie" sheetId="6" r:id="rId5"/>
    <sheet name="Dane do wykresów" sheetId="7" r:id="rId6"/>
    <sheet name="Wizualizacje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" i="3" l="1"/>
  <c r="F52" i="3"/>
  <c r="I50" i="3"/>
  <c r="K39" i="3"/>
  <c r="H35" i="3"/>
  <c r="D42" i="3"/>
  <c r="D32" i="3"/>
  <c r="D55" i="3"/>
  <c r="D45" i="3"/>
  <c r="AR7" i="5" l="1"/>
  <c r="AT6" i="5"/>
  <c r="J9" i="5"/>
  <c r="D20" i="5"/>
  <c r="E20" i="5"/>
  <c r="F20" i="5"/>
  <c r="G20" i="5"/>
  <c r="H20" i="5"/>
  <c r="I20" i="5"/>
  <c r="J20" i="5"/>
  <c r="D21" i="5"/>
  <c r="E21" i="5"/>
  <c r="F21" i="5"/>
  <c r="G21" i="5"/>
  <c r="H21" i="5"/>
  <c r="I21" i="5"/>
  <c r="J21" i="5"/>
  <c r="D22" i="5"/>
  <c r="E22" i="5"/>
  <c r="F22" i="5"/>
  <c r="G22" i="5"/>
  <c r="H22" i="5"/>
  <c r="I22" i="5"/>
  <c r="J22" i="5"/>
  <c r="D23" i="5"/>
  <c r="E23" i="5"/>
  <c r="F23" i="5"/>
  <c r="G23" i="5"/>
  <c r="H23" i="5"/>
  <c r="I23" i="5"/>
  <c r="J23" i="5"/>
  <c r="D24" i="5"/>
  <c r="E24" i="5"/>
  <c r="F24" i="5"/>
  <c r="G24" i="5"/>
  <c r="H24" i="5"/>
  <c r="I24" i="5"/>
  <c r="J24" i="5"/>
  <c r="D25" i="5"/>
  <c r="E25" i="5"/>
  <c r="F25" i="5"/>
  <c r="G25" i="5"/>
  <c r="H25" i="5"/>
  <c r="I25" i="5"/>
  <c r="J25" i="5"/>
  <c r="D26" i="5"/>
  <c r="E26" i="5"/>
  <c r="F26" i="5"/>
  <c r="G26" i="5"/>
  <c r="H26" i="5"/>
  <c r="I26" i="5"/>
  <c r="J26" i="5"/>
  <c r="D27" i="5"/>
  <c r="E27" i="5"/>
  <c r="F27" i="5"/>
  <c r="G27" i="5"/>
  <c r="H27" i="5"/>
  <c r="I27" i="5"/>
  <c r="J27" i="5"/>
  <c r="D28" i="5"/>
  <c r="E28" i="5"/>
  <c r="F28" i="5"/>
  <c r="G28" i="5"/>
  <c r="H28" i="5"/>
  <c r="I28" i="5"/>
  <c r="J28" i="5"/>
  <c r="D29" i="5"/>
  <c r="E29" i="5"/>
  <c r="F29" i="5"/>
  <c r="G29" i="5"/>
  <c r="H29" i="5"/>
  <c r="I29" i="5"/>
  <c r="J29" i="5"/>
  <c r="D30" i="5"/>
  <c r="E30" i="5"/>
  <c r="F30" i="5"/>
  <c r="G30" i="5"/>
  <c r="H30" i="5"/>
  <c r="I30" i="5"/>
  <c r="J30" i="5"/>
  <c r="C21" i="5"/>
  <c r="C22" i="5"/>
  <c r="C23" i="5"/>
  <c r="C24" i="5"/>
  <c r="C25" i="5"/>
  <c r="C26" i="5"/>
  <c r="C27" i="5"/>
  <c r="C28" i="5"/>
  <c r="C29" i="5"/>
  <c r="C30" i="5"/>
  <c r="C20" i="5"/>
  <c r="L81" i="5"/>
  <c r="K81" i="5"/>
  <c r="J81" i="5"/>
  <c r="I81" i="5"/>
  <c r="H81" i="5"/>
  <c r="G81" i="5"/>
  <c r="F81" i="5"/>
  <c r="E81" i="5"/>
  <c r="L80" i="5"/>
  <c r="K80" i="5"/>
  <c r="J80" i="5"/>
  <c r="I80" i="5"/>
  <c r="H80" i="5"/>
  <c r="G80" i="5"/>
  <c r="F80" i="5"/>
  <c r="E80" i="5"/>
  <c r="L78" i="5"/>
  <c r="K78" i="5"/>
  <c r="J78" i="5"/>
  <c r="I78" i="5"/>
  <c r="H78" i="5"/>
  <c r="G78" i="5"/>
  <c r="F78" i="5"/>
  <c r="E78" i="5"/>
  <c r="L77" i="5"/>
  <c r="K77" i="5"/>
  <c r="J77" i="5"/>
  <c r="I77" i="5"/>
  <c r="H77" i="5"/>
  <c r="G77" i="5"/>
  <c r="F77" i="5"/>
  <c r="E77" i="5"/>
  <c r="K42" i="3"/>
  <c r="D48" i="3"/>
  <c r="D33" i="3"/>
  <c r="O145" i="3"/>
  <c r="P145" i="3"/>
  <c r="Q142" i="3"/>
  <c r="R142" i="3"/>
  <c r="S142" i="3"/>
  <c r="O140" i="3"/>
  <c r="P140" i="3"/>
  <c r="Q140" i="3"/>
  <c r="O138" i="3"/>
  <c r="R137" i="3"/>
  <c r="S137" i="3"/>
  <c r="T137" i="3"/>
  <c r="N145" i="3"/>
  <c r="N146" i="3"/>
  <c r="O136" i="3"/>
  <c r="F55" i="3"/>
  <c r="G55" i="3"/>
  <c r="H55" i="3"/>
  <c r="E53" i="3"/>
  <c r="F53" i="3"/>
  <c r="G53" i="3"/>
  <c r="E51" i="3"/>
  <c r="H50" i="3"/>
  <c r="J50" i="3"/>
  <c r="F48" i="3"/>
  <c r="G48" i="3"/>
  <c r="H48" i="3"/>
  <c r="E46" i="3"/>
  <c r="D53" i="3"/>
  <c r="D52" i="3"/>
  <c r="D51" i="3"/>
  <c r="G45" i="3"/>
  <c r="F45" i="3"/>
  <c r="E45" i="3"/>
  <c r="W102" i="3"/>
  <c r="V102" i="3"/>
  <c r="U102" i="3"/>
  <c r="U103" i="3" s="1"/>
  <c r="T102" i="3"/>
  <c r="T103" i="3" s="1"/>
  <c r="S102" i="3"/>
  <c r="S103" i="3" s="1"/>
  <c r="R102" i="3"/>
  <c r="R103" i="3" s="1"/>
  <c r="Q102" i="3"/>
  <c r="P102" i="3"/>
  <c r="W101" i="3"/>
  <c r="V101" i="3"/>
  <c r="U101" i="3"/>
  <c r="T101" i="3"/>
  <c r="S101" i="3"/>
  <c r="R101" i="3"/>
  <c r="Q101" i="3"/>
  <c r="P101" i="3"/>
  <c r="W99" i="3"/>
  <c r="V99" i="3"/>
  <c r="U99" i="3"/>
  <c r="U100" i="3" s="1"/>
  <c r="T99" i="3"/>
  <c r="T100" i="3" s="1"/>
  <c r="S99" i="3"/>
  <c r="R99" i="3"/>
  <c r="R100" i="3" s="1"/>
  <c r="Q99" i="3"/>
  <c r="Q100" i="3" s="1"/>
  <c r="P99" i="3"/>
  <c r="P100" i="3" s="1"/>
  <c r="W98" i="3"/>
  <c r="W100" i="3" s="1"/>
  <c r="V98" i="3"/>
  <c r="V100" i="3" s="1"/>
  <c r="U98" i="3"/>
  <c r="T98" i="3"/>
  <c r="S98" i="3"/>
  <c r="R98" i="3"/>
  <c r="Q98" i="3"/>
  <c r="P98" i="3"/>
  <c r="W96" i="3"/>
  <c r="W97" i="3" s="1"/>
  <c r="V96" i="3"/>
  <c r="V97" i="3" s="1"/>
  <c r="U96" i="3"/>
  <c r="T96" i="3"/>
  <c r="S96" i="3"/>
  <c r="R96" i="3"/>
  <c r="Q96" i="3"/>
  <c r="Q97" i="3" s="1"/>
  <c r="P96" i="3"/>
  <c r="P97" i="3" s="1"/>
  <c r="W95" i="3"/>
  <c r="V95" i="3"/>
  <c r="U95" i="3"/>
  <c r="U97" i="3" s="1"/>
  <c r="T95" i="3"/>
  <c r="T97" i="3" s="1"/>
  <c r="S95" i="3"/>
  <c r="R95" i="3"/>
  <c r="Q95" i="3"/>
  <c r="P95" i="3"/>
  <c r="K99" i="3"/>
  <c r="K102" i="3"/>
  <c r="K103" i="3" s="1"/>
  <c r="E102" i="3"/>
  <c r="F102" i="3"/>
  <c r="G102" i="3"/>
  <c r="H102" i="3"/>
  <c r="I102" i="3"/>
  <c r="J102" i="3"/>
  <c r="E101" i="3"/>
  <c r="F101" i="3"/>
  <c r="G101" i="3"/>
  <c r="H101" i="3"/>
  <c r="I101" i="3"/>
  <c r="J101" i="3"/>
  <c r="K101" i="3"/>
  <c r="D102" i="3"/>
  <c r="D101" i="3"/>
  <c r="E99" i="3"/>
  <c r="F99" i="3"/>
  <c r="G99" i="3"/>
  <c r="H99" i="3"/>
  <c r="I99" i="3"/>
  <c r="J99" i="3"/>
  <c r="D99" i="3"/>
  <c r="D100" i="3" s="1"/>
  <c r="E98" i="3"/>
  <c r="F98" i="3"/>
  <c r="G98" i="3"/>
  <c r="H98" i="3"/>
  <c r="I98" i="3"/>
  <c r="J98" i="3"/>
  <c r="K98" i="3"/>
  <c r="D98" i="3"/>
  <c r="E96" i="3"/>
  <c r="F96" i="3"/>
  <c r="G96" i="3"/>
  <c r="H96" i="3"/>
  <c r="I96" i="3"/>
  <c r="S144" i="3" s="1"/>
  <c r="J96" i="3"/>
  <c r="T144" i="3" s="1"/>
  <c r="K96" i="3"/>
  <c r="U144" i="3" s="1"/>
  <c r="D96" i="3"/>
  <c r="D97" i="3" s="1"/>
  <c r="K95" i="3"/>
  <c r="K55" i="3" s="1"/>
  <c r="J95" i="3"/>
  <c r="J55" i="3" s="1"/>
  <c r="I95" i="3"/>
  <c r="S140" i="3" s="1"/>
  <c r="H95" i="3"/>
  <c r="R145" i="3" s="1"/>
  <c r="G95" i="3"/>
  <c r="Q138" i="3" s="1"/>
  <c r="F95" i="3"/>
  <c r="P143" i="3" s="1"/>
  <c r="E95" i="3"/>
  <c r="E49" i="3" s="1"/>
  <c r="D95" i="3"/>
  <c r="N137" i="3" s="1"/>
  <c r="N27" i="6"/>
  <c r="M12" i="6"/>
  <c r="N12" i="6"/>
  <c r="O12" i="6"/>
  <c r="P12" i="6"/>
  <c r="Q12" i="6"/>
  <c r="L12" i="6"/>
  <c r="L27" i="6"/>
  <c r="F79" i="5" l="1"/>
  <c r="E82" i="5"/>
  <c r="C9" i="5" s="1"/>
  <c r="C10" i="5"/>
  <c r="K79" i="5"/>
  <c r="L82" i="5"/>
  <c r="J4" i="5" s="1"/>
  <c r="J7" i="5"/>
  <c r="G79" i="5"/>
  <c r="H79" i="5"/>
  <c r="L79" i="5"/>
  <c r="J10" i="5"/>
  <c r="I82" i="5"/>
  <c r="G7" i="5" s="1"/>
  <c r="J82" i="5"/>
  <c r="H10" i="5" s="1"/>
  <c r="K82" i="5"/>
  <c r="I9" i="5" s="1"/>
  <c r="H82" i="5"/>
  <c r="F12" i="5" s="1"/>
  <c r="G82" i="5"/>
  <c r="E12" i="5" s="1"/>
  <c r="E10" i="5"/>
  <c r="I79" i="5"/>
  <c r="J79" i="5"/>
  <c r="F82" i="5"/>
  <c r="D12" i="5" s="1"/>
  <c r="C6" i="5"/>
  <c r="C8" i="5"/>
  <c r="C7" i="5"/>
  <c r="C5" i="5"/>
  <c r="C13" i="5"/>
  <c r="C12" i="5"/>
  <c r="E79" i="5"/>
  <c r="C11" i="5"/>
  <c r="K47" i="3"/>
  <c r="D50" i="3"/>
  <c r="F46" i="3"/>
  <c r="I48" i="3"/>
  <c r="K50" i="3"/>
  <c r="F51" i="3"/>
  <c r="H53" i="3"/>
  <c r="I55" i="3"/>
  <c r="P136" i="3"/>
  <c r="U137" i="3"/>
  <c r="P138" i="3"/>
  <c r="R140" i="3"/>
  <c r="T142" i="3"/>
  <c r="O143" i="3"/>
  <c r="Q145" i="3"/>
  <c r="D103" i="3"/>
  <c r="D104" i="3" s="1"/>
  <c r="H45" i="3"/>
  <c r="D54" i="3"/>
  <c r="J47" i="3"/>
  <c r="E48" i="3"/>
  <c r="G50" i="3"/>
  <c r="I52" i="3"/>
  <c r="K54" i="3"/>
  <c r="E55" i="3"/>
  <c r="N144" i="3"/>
  <c r="Q137" i="3"/>
  <c r="S139" i="3"/>
  <c r="U141" i="3"/>
  <c r="P142" i="3"/>
  <c r="R144" i="3"/>
  <c r="T146" i="3"/>
  <c r="K45" i="3"/>
  <c r="U139" i="3"/>
  <c r="I45" i="3"/>
  <c r="D46" i="3"/>
  <c r="I47" i="3"/>
  <c r="K49" i="3"/>
  <c r="F50" i="3"/>
  <c r="H52" i="3"/>
  <c r="J54" i="3"/>
  <c r="C137" i="3"/>
  <c r="N143" i="3"/>
  <c r="P137" i="3"/>
  <c r="R139" i="3"/>
  <c r="T141" i="3"/>
  <c r="O142" i="3"/>
  <c r="Q144" i="3"/>
  <c r="S146" i="3"/>
  <c r="J52" i="3"/>
  <c r="T139" i="3"/>
  <c r="T104" i="3"/>
  <c r="T106" i="3" s="1"/>
  <c r="J45" i="3"/>
  <c r="H47" i="3"/>
  <c r="J49" i="3"/>
  <c r="E50" i="3"/>
  <c r="G52" i="3"/>
  <c r="I54" i="3"/>
  <c r="N136" i="3"/>
  <c r="N142" i="3"/>
  <c r="O137" i="3"/>
  <c r="Q139" i="3"/>
  <c r="S141" i="3"/>
  <c r="U143" i="3"/>
  <c r="P144" i="3"/>
  <c r="R146" i="3"/>
  <c r="T105" i="3"/>
  <c r="T107" i="3" s="1"/>
  <c r="U146" i="3"/>
  <c r="U104" i="3"/>
  <c r="U106" i="3" s="1"/>
  <c r="K46" i="3"/>
  <c r="G47" i="3"/>
  <c r="I49" i="3"/>
  <c r="K51" i="3"/>
  <c r="H54" i="3"/>
  <c r="U136" i="3"/>
  <c r="N141" i="3"/>
  <c r="U138" i="3"/>
  <c r="P139" i="3"/>
  <c r="R141" i="3"/>
  <c r="T143" i="3"/>
  <c r="O144" i="3"/>
  <c r="Q146" i="3"/>
  <c r="K52" i="3"/>
  <c r="R97" i="3"/>
  <c r="V103" i="3"/>
  <c r="V105" i="3" s="1"/>
  <c r="V107" i="3" s="1"/>
  <c r="J46" i="3"/>
  <c r="F47" i="3"/>
  <c r="H49" i="3"/>
  <c r="J51" i="3"/>
  <c r="E52" i="3"/>
  <c r="G54" i="3"/>
  <c r="T136" i="3"/>
  <c r="N140" i="3"/>
  <c r="T138" i="3"/>
  <c r="O139" i="3"/>
  <c r="Q141" i="3"/>
  <c r="S143" i="3"/>
  <c r="U145" i="3"/>
  <c r="P146" i="3"/>
  <c r="K100" i="3"/>
  <c r="W104" i="3"/>
  <c r="W106" i="3" s="1"/>
  <c r="W103" i="3"/>
  <c r="W105" i="3" s="1"/>
  <c r="W107" i="3" s="1"/>
  <c r="D47" i="3"/>
  <c r="I46" i="3"/>
  <c r="E47" i="3"/>
  <c r="G49" i="3"/>
  <c r="I51" i="3"/>
  <c r="K53" i="3"/>
  <c r="F54" i="3"/>
  <c r="S136" i="3"/>
  <c r="N139" i="3"/>
  <c r="S138" i="3"/>
  <c r="U140" i="3"/>
  <c r="P141" i="3"/>
  <c r="R143" i="3"/>
  <c r="T145" i="3"/>
  <c r="O146" i="3"/>
  <c r="D141" i="3"/>
  <c r="H46" i="3"/>
  <c r="K48" i="3"/>
  <c r="F49" i="3"/>
  <c r="H51" i="3"/>
  <c r="J53" i="3"/>
  <c r="E54" i="3"/>
  <c r="R136" i="3"/>
  <c r="N138" i="3"/>
  <c r="R138" i="3"/>
  <c r="T140" i="3"/>
  <c r="O141" i="3"/>
  <c r="Q143" i="3"/>
  <c r="S145" i="3"/>
  <c r="U105" i="3"/>
  <c r="U107" i="3" s="1"/>
  <c r="Q103" i="3"/>
  <c r="Q104" i="3" s="1"/>
  <c r="Q106" i="3" s="1"/>
  <c r="E141" i="3"/>
  <c r="D49" i="3"/>
  <c r="G46" i="3"/>
  <c r="J48" i="3"/>
  <c r="G51" i="3"/>
  <c r="I53" i="3"/>
  <c r="Q136" i="3"/>
  <c r="U142" i="3"/>
  <c r="S97" i="3"/>
  <c r="S100" i="3"/>
  <c r="R104" i="3"/>
  <c r="R106" i="3" s="1"/>
  <c r="S104" i="3"/>
  <c r="P104" i="3"/>
  <c r="P106" i="3" s="1"/>
  <c r="S106" i="3"/>
  <c r="R105" i="3"/>
  <c r="R107" i="3" s="1"/>
  <c r="P103" i="3"/>
  <c r="P105" i="3" s="1"/>
  <c r="P107" i="3" s="1"/>
  <c r="S105" i="3"/>
  <c r="S107" i="3" s="1"/>
  <c r="C14" i="5" l="1"/>
  <c r="C4" i="5"/>
  <c r="J13" i="5"/>
  <c r="J6" i="5"/>
  <c r="J11" i="5"/>
  <c r="J8" i="5"/>
  <c r="J14" i="5"/>
  <c r="J12" i="5"/>
  <c r="G8" i="5"/>
  <c r="I8" i="5"/>
  <c r="D13" i="5"/>
  <c r="I12" i="5"/>
  <c r="G14" i="5"/>
  <c r="H8" i="5"/>
  <c r="H9" i="5"/>
  <c r="G13" i="5"/>
  <c r="G12" i="5"/>
  <c r="H11" i="5"/>
  <c r="H13" i="5"/>
  <c r="H5" i="5"/>
  <c r="F9" i="5"/>
  <c r="H7" i="5"/>
  <c r="J5" i="5"/>
  <c r="G9" i="5"/>
  <c r="H12" i="5"/>
  <c r="H4" i="5"/>
  <c r="G10" i="5"/>
  <c r="G4" i="5"/>
  <c r="D7" i="5"/>
  <c r="I6" i="5"/>
  <c r="D5" i="5"/>
  <c r="D8" i="5"/>
  <c r="I5" i="5"/>
  <c r="H14" i="5"/>
  <c r="I7" i="5"/>
  <c r="G11" i="5"/>
  <c r="I13" i="5"/>
  <c r="I4" i="5"/>
  <c r="E5" i="5"/>
  <c r="G5" i="5"/>
  <c r="I10" i="5"/>
  <c r="H6" i="5"/>
  <c r="I11" i="5"/>
  <c r="I14" i="5"/>
  <c r="G6" i="5"/>
  <c r="E4" i="5"/>
  <c r="E6" i="5"/>
  <c r="E11" i="5"/>
  <c r="E13" i="5"/>
  <c r="F7" i="5"/>
  <c r="E9" i="5"/>
  <c r="D6" i="5"/>
  <c r="D11" i="5"/>
  <c r="D9" i="5"/>
  <c r="D4" i="5"/>
  <c r="E8" i="5"/>
  <c r="F11" i="5"/>
  <c r="F6" i="5"/>
  <c r="F8" i="5"/>
  <c r="F13" i="5"/>
  <c r="F5" i="5"/>
  <c r="F14" i="5"/>
  <c r="F4" i="5"/>
  <c r="E14" i="5"/>
  <c r="E7" i="5"/>
  <c r="D10" i="5"/>
  <c r="F10" i="5"/>
  <c r="D14" i="5"/>
  <c r="V104" i="3"/>
  <c r="V106" i="3" s="1"/>
  <c r="Q105" i="3"/>
  <c r="Q107" i="3" s="1"/>
  <c r="D105" i="3"/>
  <c r="AC91" i="3" l="1"/>
  <c r="AD91" i="3"/>
  <c r="AE91" i="3"/>
  <c r="AF91" i="3"/>
  <c r="AG91" i="3"/>
  <c r="AH91" i="3"/>
  <c r="AI91" i="3"/>
  <c r="AC90" i="3"/>
  <c r="AD90" i="3"/>
  <c r="AE90" i="3"/>
  <c r="AF90" i="3"/>
  <c r="AG90" i="3"/>
  <c r="AH90" i="3"/>
  <c r="AI90" i="3"/>
  <c r="AC89" i="3"/>
  <c r="AD89" i="3"/>
  <c r="AE89" i="3"/>
  <c r="AF89" i="3"/>
  <c r="AG89" i="3"/>
  <c r="AH89" i="3"/>
  <c r="AI89" i="3"/>
  <c r="AC88" i="3"/>
  <c r="AD88" i="3"/>
  <c r="AE88" i="3"/>
  <c r="AF88" i="3"/>
  <c r="AG88" i="3"/>
  <c r="AH88" i="3"/>
  <c r="AI88" i="3"/>
  <c r="AB89" i="3"/>
  <c r="AB90" i="3"/>
  <c r="AB91" i="3"/>
  <c r="AC87" i="3"/>
  <c r="AD87" i="3"/>
  <c r="AE87" i="3"/>
  <c r="AF87" i="3"/>
  <c r="AG87" i="3"/>
  <c r="AH87" i="3"/>
  <c r="AI87" i="3"/>
  <c r="AC86" i="3"/>
  <c r="AD86" i="3"/>
  <c r="AE86" i="3"/>
  <c r="AF86" i="3"/>
  <c r="AG86" i="3"/>
  <c r="AH86" i="3"/>
  <c r="AI86" i="3"/>
  <c r="AC85" i="3"/>
  <c r="AD85" i="3"/>
  <c r="AE85" i="3"/>
  <c r="AF85" i="3"/>
  <c r="AG85" i="3"/>
  <c r="AH85" i="3"/>
  <c r="AI85" i="3"/>
  <c r="AB88" i="3"/>
  <c r="AB87" i="3"/>
  <c r="AB86" i="3"/>
  <c r="AB85" i="3"/>
  <c r="AC84" i="3"/>
  <c r="AD84" i="3"/>
  <c r="AE84" i="3"/>
  <c r="AF84" i="3"/>
  <c r="AG84" i="3"/>
  <c r="AH84" i="3"/>
  <c r="AI84" i="3"/>
  <c r="AB84" i="3"/>
  <c r="N94" i="1"/>
  <c r="O94" i="1"/>
  <c r="P94" i="1"/>
  <c r="Q94" i="1"/>
  <c r="R94" i="1"/>
  <c r="S94" i="1"/>
  <c r="T94" i="1"/>
  <c r="N93" i="1"/>
  <c r="O93" i="1"/>
  <c r="P93" i="1"/>
  <c r="Q93" i="1"/>
  <c r="R93" i="1"/>
  <c r="S93" i="1"/>
  <c r="T93" i="1"/>
  <c r="N92" i="1"/>
  <c r="O92" i="1"/>
  <c r="P92" i="1"/>
  <c r="Q92" i="1"/>
  <c r="R92" i="1"/>
  <c r="S92" i="1"/>
  <c r="T92" i="1"/>
  <c r="N91" i="1"/>
  <c r="O91" i="1"/>
  <c r="P91" i="1"/>
  <c r="Q91" i="1"/>
  <c r="R91" i="1"/>
  <c r="S91" i="1"/>
  <c r="T91" i="1"/>
  <c r="N90" i="1"/>
  <c r="O90" i="1"/>
  <c r="P90" i="1"/>
  <c r="Q90" i="1"/>
  <c r="R90" i="1"/>
  <c r="S90" i="1"/>
  <c r="T90" i="1"/>
  <c r="N89" i="1"/>
  <c r="O89" i="1"/>
  <c r="P89" i="1"/>
  <c r="Q89" i="1"/>
  <c r="R89" i="1"/>
  <c r="S89" i="1"/>
  <c r="T89" i="1"/>
  <c r="N88" i="1"/>
  <c r="O88" i="1"/>
  <c r="P88" i="1"/>
  <c r="Q88" i="1"/>
  <c r="R88" i="1"/>
  <c r="S88" i="1"/>
  <c r="T88" i="1"/>
  <c r="N87" i="1"/>
  <c r="O87" i="1"/>
  <c r="P87" i="1"/>
  <c r="Q87" i="1"/>
  <c r="R87" i="1"/>
  <c r="S87" i="1"/>
  <c r="T87" i="1"/>
  <c r="N86" i="1"/>
  <c r="O86" i="1"/>
  <c r="P86" i="1"/>
  <c r="Q86" i="1"/>
  <c r="R86" i="1"/>
  <c r="S86" i="1"/>
  <c r="T86" i="1"/>
  <c r="N85" i="1"/>
  <c r="O85" i="1"/>
  <c r="P85" i="1"/>
  <c r="Q85" i="1"/>
  <c r="R85" i="1"/>
  <c r="S85" i="1"/>
  <c r="T85" i="1"/>
  <c r="N84" i="1"/>
  <c r="O84" i="1"/>
  <c r="P84" i="1"/>
  <c r="Q84" i="1"/>
  <c r="R84" i="1"/>
  <c r="S84" i="1"/>
  <c r="T84" i="1"/>
  <c r="N83" i="1"/>
  <c r="O83" i="1"/>
  <c r="P83" i="1"/>
  <c r="Q83" i="1"/>
  <c r="R83" i="1"/>
  <c r="S83" i="1"/>
  <c r="T83" i="1"/>
  <c r="N82" i="1"/>
  <c r="O82" i="1"/>
  <c r="P82" i="1"/>
  <c r="Q82" i="1"/>
  <c r="R82" i="1"/>
  <c r="S82" i="1"/>
  <c r="T82" i="1"/>
  <c r="M89" i="1"/>
  <c r="M88" i="1"/>
  <c r="M86" i="1"/>
  <c r="M85" i="1"/>
  <c r="M84" i="1"/>
  <c r="M83" i="1"/>
  <c r="M82" i="1"/>
  <c r="J94" i="1"/>
  <c r="J93" i="1"/>
  <c r="C93" i="1"/>
  <c r="D94" i="1"/>
  <c r="E94" i="1"/>
  <c r="G94" i="1"/>
  <c r="H94" i="1"/>
  <c r="I94" i="1"/>
  <c r="C94" i="1"/>
  <c r="AC93" i="3" l="1"/>
  <c r="AC94" i="3" s="1"/>
  <c r="AB93" i="3"/>
  <c r="AB94" i="3" s="1"/>
  <c r="AF93" i="3"/>
  <c r="AF94" i="3" s="1"/>
  <c r="AI93" i="3"/>
  <c r="AI94" i="3" s="1"/>
  <c r="AE93" i="3"/>
  <c r="AE94" i="3" s="1"/>
  <c r="AH93" i="3"/>
  <c r="AH94" i="3" s="1"/>
  <c r="AD93" i="3"/>
  <c r="AD94" i="3" s="1"/>
  <c r="AG93" i="3"/>
  <c r="AG94" i="3" s="1"/>
  <c r="M90" i="1"/>
  <c r="M91" i="1" s="1"/>
  <c r="M93" i="1" s="1"/>
  <c r="M87" i="1"/>
  <c r="AJ94" i="3" l="1"/>
  <c r="M92" i="1"/>
  <c r="M94" i="1" s="1"/>
  <c r="AF95" i="3" l="1"/>
  <c r="AC95" i="3"/>
  <c r="AG95" i="3"/>
  <c r="AH95" i="3"/>
  <c r="AB95" i="3"/>
  <c r="AD95" i="3"/>
  <c r="AI95" i="3"/>
  <c r="AE95" i="3"/>
  <c r="J89" i="1"/>
  <c r="D89" i="1"/>
  <c r="E89" i="1"/>
  <c r="F89" i="1"/>
  <c r="G89" i="1"/>
  <c r="H89" i="1"/>
  <c r="I89" i="1"/>
  <c r="C89" i="1"/>
  <c r="D88" i="1"/>
  <c r="E88" i="1"/>
  <c r="F88" i="1"/>
  <c r="G88" i="1"/>
  <c r="H88" i="1"/>
  <c r="I88" i="1"/>
  <c r="J88" i="1"/>
  <c r="C88" i="1"/>
  <c r="D86" i="1"/>
  <c r="E86" i="1"/>
  <c r="F86" i="1"/>
  <c r="G86" i="1"/>
  <c r="H86" i="1"/>
  <c r="I86" i="1"/>
  <c r="J86" i="1"/>
  <c r="C86" i="1"/>
  <c r="C87" i="1" s="1"/>
  <c r="D85" i="1"/>
  <c r="E85" i="1"/>
  <c r="F85" i="1"/>
  <c r="F87" i="1" s="1"/>
  <c r="G85" i="1"/>
  <c r="H85" i="1"/>
  <c r="I85" i="1"/>
  <c r="J85" i="1"/>
  <c r="C85" i="1"/>
  <c r="D83" i="1"/>
  <c r="D84" i="1" s="1"/>
  <c r="E83" i="1"/>
  <c r="E84" i="1" s="1"/>
  <c r="F83" i="1"/>
  <c r="G83" i="1"/>
  <c r="G84" i="1" s="1"/>
  <c r="H83" i="1"/>
  <c r="H84" i="1" s="1"/>
  <c r="I83" i="1"/>
  <c r="I84" i="1" s="1"/>
  <c r="J83" i="1"/>
  <c r="J84" i="1" s="1"/>
  <c r="C83" i="1"/>
  <c r="J82" i="1"/>
  <c r="D82" i="1"/>
  <c r="E82" i="1"/>
  <c r="F82" i="1"/>
  <c r="G82" i="1"/>
  <c r="H82" i="1"/>
  <c r="I82" i="1"/>
  <c r="C82" i="1"/>
  <c r="G25" i="7"/>
  <c r="P11" i="7"/>
  <c r="P10" i="7"/>
  <c r="P9" i="7"/>
  <c r="P8" i="7"/>
  <c r="P7" i="7"/>
  <c r="P6" i="7"/>
  <c r="P5" i="7"/>
  <c r="P4" i="7"/>
  <c r="J25" i="7"/>
  <c r="I25" i="7"/>
  <c r="H25" i="7"/>
  <c r="F25" i="7"/>
  <c r="E25" i="7"/>
  <c r="D25" i="7"/>
  <c r="C25" i="7"/>
  <c r="AL95" i="3" l="1"/>
  <c r="F84" i="1"/>
  <c r="C90" i="1"/>
  <c r="I90" i="1"/>
  <c r="I92" i="1" s="1"/>
  <c r="E87" i="1"/>
  <c r="H90" i="1"/>
  <c r="H92" i="1" s="1"/>
  <c r="D87" i="1"/>
  <c r="E92" i="1"/>
  <c r="D92" i="1"/>
  <c r="J90" i="1"/>
  <c r="J92" i="1" s="1"/>
  <c r="H87" i="1"/>
  <c r="F90" i="1"/>
  <c r="F91" i="1" s="1"/>
  <c r="F93" i="1" s="1"/>
  <c r="D91" i="1"/>
  <c r="D93" i="1" s="1"/>
  <c r="G87" i="1"/>
  <c r="E90" i="1"/>
  <c r="E91" i="1"/>
  <c r="E93" i="1" s="1"/>
  <c r="D90" i="1"/>
  <c r="C91" i="1"/>
  <c r="I91" i="1"/>
  <c r="I93" i="1" s="1"/>
  <c r="H91" i="1"/>
  <c r="H93" i="1" s="1"/>
  <c r="G90" i="1"/>
  <c r="G92" i="1" s="1"/>
  <c r="C92" i="1"/>
  <c r="J87" i="1"/>
  <c r="C84" i="1"/>
  <c r="I87" i="1"/>
  <c r="C178" i="6"/>
  <c r="D178" i="6"/>
  <c r="E178" i="6"/>
  <c r="F178" i="6"/>
  <c r="G178" i="6"/>
  <c r="H178" i="6"/>
  <c r="I178" i="6"/>
  <c r="J178" i="6"/>
  <c r="K178" i="6"/>
  <c r="L178" i="6"/>
  <c r="M178" i="6"/>
  <c r="N178" i="6"/>
  <c r="O178" i="6"/>
  <c r="P178" i="6"/>
  <c r="Q178" i="6"/>
  <c r="B178" i="6"/>
  <c r="C177" i="6"/>
  <c r="D177" i="6"/>
  <c r="E177" i="6"/>
  <c r="F177" i="6"/>
  <c r="G177" i="6"/>
  <c r="H177" i="6"/>
  <c r="I177" i="6"/>
  <c r="J177" i="6"/>
  <c r="K177" i="6"/>
  <c r="L177" i="6"/>
  <c r="M177" i="6"/>
  <c r="N177" i="6"/>
  <c r="O177" i="6"/>
  <c r="P177" i="6"/>
  <c r="Q177" i="6"/>
  <c r="B177" i="6"/>
  <c r="C176" i="6"/>
  <c r="D176" i="6"/>
  <c r="E176" i="6"/>
  <c r="F176" i="6"/>
  <c r="G176" i="6"/>
  <c r="H176" i="6"/>
  <c r="I176" i="6"/>
  <c r="J176" i="6"/>
  <c r="K176" i="6"/>
  <c r="L176" i="6"/>
  <c r="M176" i="6"/>
  <c r="N176" i="6"/>
  <c r="O176" i="6"/>
  <c r="P176" i="6"/>
  <c r="Q176" i="6"/>
  <c r="B176" i="6"/>
  <c r="N169" i="6"/>
  <c r="Q174" i="6"/>
  <c r="Q165" i="6"/>
  <c r="Q166" i="6"/>
  <c r="Q167" i="6"/>
  <c r="Q168" i="6"/>
  <c r="Q169" i="6"/>
  <c r="Q170" i="6"/>
  <c r="Q171" i="6"/>
  <c r="Q172" i="6"/>
  <c r="Q173" i="6"/>
  <c r="P165" i="6"/>
  <c r="P166" i="6"/>
  <c r="P167" i="6"/>
  <c r="P168" i="6"/>
  <c r="P169" i="6"/>
  <c r="P170" i="6"/>
  <c r="P171" i="6"/>
  <c r="P172" i="6"/>
  <c r="P173" i="6"/>
  <c r="P174" i="6"/>
  <c r="O165" i="6"/>
  <c r="O166" i="6"/>
  <c r="O167" i="6"/>
  <c r="O168" i="6"/>
  <c r="O169" i="6"/>
  <c r="O170" i="6"/>
  <c r="O171" i="6"/>
  <c r="O172" i="6"/>
  <c r="O173" i="6"/>
  <c r="O174" i="6"/>
  <c r="N165" i="6"/>
  <c r="N166" i="6"/>
  <c r="N167" i="6"/>
  <c r="N168" i="6"/>
  <c r="N170" i="6"/>
  <c r="N171" i="6"/>
  <c r="N172" i="6"/>
  <c r="N173" i="6"/>
  <c r="N174" i="6"/>
  <c r="M165" i="6"/>
  <c r="M166" i="6"/>
  <c r="M167" i="6"/>
  <c r="M168" i="6"/>
  <c r="M169" i="6"/>
  <c r="M170" i="6"/>
  <c r="M171" i="6"/>
  <c r="M172" i="6"/>
  <c r="M173" i="6"/>
  <c r="M174" i="6"/>
  <c r="L165" i="6"/>
  <c r="L166" i="6"/>
  <c r="L167" i="6"/>
  <c r="L168" i="6"/>
  <c r="L169" i="6"/>
  <c r="L170" i="6"/>
  <c r="L171" i="6"/>
  <c r="L172" i="6"/>
  <c r="L173" i="6"/>
  <c r="L174" i="6"/>
  <c r="K165" i="6"/>
  <c r="K166" i="6"/>
  <c r="K167" i="6"/>
  <c r="K168" i="6"/>
  <c r="K169" i="6"/>
  <c r="K170" i="6"/>
  <c r="K171" i="6"/>
  <c r="K172" i="6"/>
  <c r="K173" i="6"/>
  <c r="K174" i="6"/>
  <c r="Q164" i="6"/>
  <c r="P164" i="6"/>
  <c r="O164" i="6"/>
  <c r="N164" i="6"/>
  <c r="M164" i="6"/>
  <c r="L164" i="6"/>
  <c r="K164" i="6"/>
  <c r="J165" i="6"/>
  <c r="J166" i="6"/>
  <c r="J167" i="6"/>
  <c r="J168" i="6"/>
  <c r="J169" i="6"/>
  <c r="J170" i="6"/>
  <c r="J171" i="6"/>
  <c r="J172" i="6"/>
  <c r="J173" i="6"/>
  <c r="J174" i="6"/>
  <c r="J164" i="6"/>
  <c r="I174" i="6"/>
  <c r="I165" i="6"/>
  <c r="I166" i="6"/>
  <c r="I167" i="6"/>
  <c r="I168" i="6"/>
  <c r="I169" i="6"/>
  <c r="I170" i="6"/>
  <c r="I171" i="6"/>
  <c r="I172" i="6"/>
  <c r="I173" i="6"/>
  <c r="H165" i="6"/>
  <c r="H166" i="6"/>
  <c r="H167" i="6"/>
  <c r="H168" i="6"/>
  <c r="H169" i="6"/>
  <c r="H170" i="6"/>
  <c r="H171" i="6"/>
  <c r="H172" i="6"/>
  <c r="H173" i="6"/>
  <c r="H174" i="6"/>
  <c r="G165" i="6"/>
  <c r="G166" i="6"/>
  <c r="G167" i="6"/>
  <c r="G168" i="6"/>
  <c r="G169" i="6"/>
  <c r="G170" i="6"/>
  <c r="G171" i="6"/>
  <c r="G172" i="6"/>
  <c r="G173" i="6"/>
  <c r="G174" i="6"/>
  <c r="F165" i="6"/>
  <c r="F166" i="6"/>
  <c r="F167" i="6"/>
  <c r="F168" i="6"/>
  <c r="F169" i="6"/>
  <c r="F170" i="6"/>
  <c r="F171" i="6"/>
  <c r="F172" i="6"/>
  <c r="F173" i="6"/>
  <c r="F174" i="6"/>
  <c r="E165" i="6"/>
  <c r="E166" i="6"/>
  <c r="E167" i="6"/>
  <c r="E168" i="6"/>
  <c r="E169" i="6"/>
  <c r="E170" i="6"/>
  <c r="E171" i="6"/>
  <c r="E172" i="6"/>
  <c r="E173" i="6"/>
  <c r="E174" i="6"/>
  <c r="D165" i="6"/>
  <c r="D166" i="6"/>
  <c r="D167" i="6"/>
  <c r="D168" i="6"/>
  <c r="D169" i="6"/>
  <c r="D170" i="6"/>
  <c r="D171" i="6"/>
  <c r="D172" i="6"/>
  <c r="D173" i="6"/>
  <c r="D174" i="6"/>
  <c r="C165" i="6"/>
  <c r="C166" i="6"/>
  <c r="C167" i="6"/>
  <c r="C168" i="6"/>
  <c r="C169" i="6"/>
  <c r="C170" i="6"/>
  <c r="C171" i="6"/>
  <c r="C172" i="6"/>
  <c r="C173" i="6"/>
  <c r="C174" i="6"/>
  <c r="I164" i="6"/>
  <c r="H164" i="6"/>
  <c r="G164" i="6"/>
  <c r="F164" i="6"/>
  <c r="E164" i="6"/>
  <c r="D164" i="6"/>
  <c r="C164" i="6"/>
  <c r="B174" i="6"/>
  <c r="B173" i="6"/>
  <c r="B172" i="6"/>
  <c r="B171" i="6"/>
  <c r="B170" i="6"/>
  <c r="B169" i="6"/>
  <c r="B168" i="6"/>
  <c r="B167" i="6"/>
  <c r="B166" i="6"/>
  <c r="B165" i="6"/>
  <c r="B164" i="6"/>
  <c r="I159" i="6"/>
  <c r="Q159" i="6"/>
  <c r="C159" i="6"/>
  <c r="D159" i="6"/>
  <c r="E159" i="6"/>
  <c r="F159" i="6"/>
  <c r="G159" i="6"/>
  <c r="H159" i="6"/>
  <c r="J159" i="6"/>
  <c r="K159" i="6"/>
  <c r="L159" i="6"/>
  <c r="M159" i="6"/>
  <c r="N159" i="6"/>
  <c r="O159" i="6"/>
  <c r="P159" i="6"/>
  <c r="B159" i="6"/>
  <c r="Q158" i="6"/>
  <c r="P158" i="6"/>
  <c r="O158" i="6"/>
  <c r="N158" i="6"/>
  <c r="M158" i="6"/>
  <c r="L158" i="6"/>
  <c r="K158" i="6"/>
  <c r="J158" i="6"/>
  <c r="I158" i="6"/>
  <c r="H158" i="6"/>
  <c r="G158" i="6"/>
  <c r="F158" i="6"/>
  <c r="E158" i="6"/>
  <c r="D158" i="6"/>
  <c r="C158" i="6"/>
  <c r="B158" i="6"/>
  <c r="O95" i="6"/>
  <c r="N95" i="6"/>
  <c r="M95" i="6"/>
  <c r="L95" i="6"/>
  <c r="O78" i="6"/>
  <c r="N78" i="6"/>
  <c r="M78" i="6"/>
  <c r="L78" i="6"/>
  <c r="Q46" i="6"/>
  <c r="M46" i="6"/>
  <c r="N46" i="6"/>
  <c r="O46" i="6"/>
  <c r="P46" i="6"/>
  <c r="L46" i="6"/>
  <c r="M62" i="6"/>
  <c r="N62" i="6"/>
  <c r="O62" i="6"/>
  <c r="P62" i="6"/>
  <c r="Q62" i="6"/>
  <c r="L62" i="6"/>
  <c r="Q27" i="6"/>
  <c r="M27" i="6"/>
  <c r="O27" i="6"/>
  <c r="P27" i="6"/>
  <c r="J91" i="1" l="1"/>
  <c r="F92" i="1"/>
  <c r="F94" i="1" s="1"/>
  <c r="G91" i="1"/>
  <c r="G93" i="1" s="1"/>
  <c r="I40" i="5" l="1"/>
  <c r="I39" i="5"/>
  <c r="Y28" i="5" s="1"/>
  <c r="C42" i="5"/>
  <c r="C37" i="5"/>
  <c r="C36" i="5"/>
  <c r="C40" i="5"/>
  <c r="C39" i="5"/>
  <c r="S22" i="5" s="1"/>
  <c r="Y27" i="5"/>
  <c r="I36" i="5"/>
  <c r="I42" i="5"/>
  <c r="J36" i="5"/>
  <c r="C43" i="5"/>
  <c r="I37" i="5"/>
  <c r="Y8" i="5"/>
  <c r="J39" i="5"/>
  <c r="Z5" i="5" s="1"/>
  <c r="J37" i="5"/>
  <c r="J42" i="5"/>
  <c r="J40" i="5"/>
  <c r="I41" i="5"/>
  <c r="H40" i="5"/>
  <c r="H39" i="5"/>
  <c r="X24" i="5" s="1"/>
  <c r="H37" i="5"/>
  <c r="H42" i="5"/>
  <c r="H36" i="5"/>
  <c r="F40" i="5"/>
  <c r="F39" i="5"/>
  <c r="V30" i="5" s="1"/>
  <c r="F36" i="5"/>
  <c r="F37" i="5"/>
  <c r="F42" i="5"/>
  <c r="F43" i="5"/>
  <c r="I43" i="5"/>
  <c r="D43" i="5"/>
  <c r="G39" i="5"/>
  <c r="W24" i="5" s="1"/>
  <c r="G36" i="5"/>
  <c r="G40" i="5"/>
  <c r="G37" i="5"/>
  <c r="G42" i="5"/>
  <c r="G43" i="5"/>
  <c r="H43" i="5"/>
  <c r="J43" i="5"/>
  <c r="E43" i="5"/>
  <c r="D42" i="5"/>
  <c r="D36" i="5"/>
  <c r="D40" i="5"/>
  <c r="D39" i="5"/>
  <c r="T30" i="5" s="1"/>
  <c r="D37" i="5"/>
  <c r="E39" i="5"/>
  <c r="U24" i="5" s="1"/>
  <c r="E40" i="5"/>
  <c r="E42" i="5"/>
  <c r="E37" i="5"/>
  <c r="E36" i="5"/>
  <c r="Y22" i="5" l="1"/>
  <c r="Y20" i="5"/>
  <c r="Y6" i="5"/>
  <c r="E41" i="5"/>
  <c r="Y11" i="5"/>
  <c r="Y25" i="5"/>
  <c r="Y12" i="5"/>
  <c r="H38" i="5"/>
  <c r="Y9" i="5"/>
  <c r="Y21" i="5"/>
  <c r="Y26" i="5"/>
  <c r="Y7" i="5"/>
  <c r="Y10" i="5"/>
  <c r="U7" i="5"/>
  <c r="T21" i="5"/>
  <c r="W23" i="5"/>
  <c r="S12" i="5"/>
  <c r="I38" i="5"/>
  <c r="Z29" i="5"/>
  <c r="Z28" i="5"/>
  <c r="O22" i="5" a="1"/>
  <c r="O22" i="5" s="1"/>
  <c r="O8" i="5" a="1"/>
  <c r="O8" i="5" s="1"/>
  <c r="V22" i="5"/>
  <c r="I44" i="5"/>
  <c r="I47" i="5" s="1"/>
  <c r="W25" i="5"/>
  <c r="S30" i="5"/>
  <c r="J41" i="5"/>
  <c r="J38" i="5"/>
  <c r="X21" i="5"/>
  <c r="S7" i="5"/>
  <c r="S8" i="5"/>
  <c r="S20" i="5"/>
  <c r="S4" i="5"/>
  <c r="V20" i="5"/>
  <c r="S9" i="5"/>
  <c r="S10" i="5"/>
  <c r="S24" i="5"/>
  <c r="S21" i="5"/>
  <c r="C38" i="5"/>
  <c r="S13" i="5"/>
  <c r="S5" i="5"/>
  <c r="V29" i="5"/>
  <c r="V7" i="5"/>
  <c r="V26" i="5"/>
  <c r="S11" i="5"/>
  <c r="U20" i="5"/>
  <c r="T9" i="5"/>
  <c r="X11" i="5"/>
  <c r="T29" i="5"/>
  <c r="W30" i="5"/>
  <c r="V21" i="5"/>
  <c r="X28" i="5"/>
  <c r="V10" i="5"/>
  <c r="X6" i="5"/>
  <c r="K14" i="5" a="1"/>
  <c r="K14" i="5" s="1"/>
  <c r="Z4" i="5"/>
  <c r="Z27" i="5"/>
  <c r="U25" i="5"/>
  <c r="W14" i="5"/>
  <c r="X9" i="5"/>
  <c r="O5" i="5" a="1"/>
  <c r="O5" i="5" s="1"/>
  <c r="O14" i="5" a="1"/>
  <c r="O14" i="5" s="1"/>
  <c r="K21" i="5" a="1"/>
  <c r="K21" i="5" s="1"/>
  <c r="K11" i="5" a="1"/>
  <c r="K11" i="5" s="1"/>
  <c r="O12" i="5" a="1"/>
  <c r="O12" i="5" s="1"/>
  <c r="V28" i="5"/>
  <c r="U23" i="5"/>
  <c r="Z21" i="5"/>
  <c r="U5" i="5"/>
  <c r="V5" i="5"/>
  <c r="V6" i="5"/>
  <c r="V14" i="5"/>
  <c r="V4" i="5"/>
  <c r="V12" i="5"/>
  <c r="Z8" i="5"/>
  <c r="Z25" i="5"/>
  <c r="Z6" i="5"/>
  <c r="Z9" i="5"/>
  <c r="Z30" i="5"/>
  <c r="Z23" i="5"/>
  <c r="Z7" i="5"/>
  <c r="O11" i="5" a="1"/>
  <c r="O11" i="5" s="1"/>
  <c r="K12" i="5" a="1"/>
  <c r="K12" i="5" s="1"/>
  <c r="K10" i="5" a="1"/>
  <c r="K10" i="5" s="1"/>
  <c r="O24" i="5" a="1"/>
  <c r="O24" i="5" s="1"/>
  <c r="K30" i="5" a="1"/>
  <c r="K30" i="5" s="1"/>
  <c r="K20" i="5" a="1"/>
  <c r="K20" i="5" s="1"/>
  <c r="K5" i="5" a="1"/>
  <c r="K5" i="5" s="1"/>
  <c r="X8" i="5"/>
  <c r="O9" i="5" a="1"/>
  <c r="O9" i="5" s="1"/>
  <c r="O10" i="5" a="1"/>
  <c r="O10" i="5" s="1"/>
  <c r="W28" i="5"/>
  <c r="K24" i="5" a="1"/>
  <c r="K24" i="5" s="1"/>
  <c r="O30" i="5" a="1"/>
  <c r="O30" i="5" s="1"/>
  <c r="T14" i="5"/>
  <c r="Z22" i="5"/>
  <c r="X27" i="5"/>
  <c r="Z10" i="5"/>
  <c r="O20" i="5" a="1"/>
  <c r="O20" i="5" s="1"/>
  <c r="V11" i="5"/>
  <c r="X7" i="5"/>
  <c r="Z24" i="5"/>
  <c r="Y24" i="5"/>
  <c r="X22" i="5"/>
  <c r="K9" i="5" a="1"/>
  <c r="K9" i="5" s="1"/>
  <c r="T7" i="5"/>
  <c r="X14" i="5"/>
  <c r="T12" i="5"/>
  <c r="K13" i="5" a="1"/>
  <c r="K13" i="5" s="1"/>
  <c r="K7" i="5" a="1"/>
  <c r="K7" i="5" s="1"/>
  <c r="S6" i="5"/>
  <c r="S27" i="5"/>
  <c r="S26" i="5"/>
  <c r="S23" i="5"/>
  <c r="S28" i="5"/>
  <c r="S25" i="5"/>
  <c r="V13" i="5"/>
  <c r="T13" i="5"/>
  <c r="T22" i="5"/>
  <c r="T24" i="5"/>
  <c r="T27" i="5"/>
  <c r="T28" i="5"/>
  <c r="V8" i="5"/>
  <c r="Z20" i="5"/>
  <c r="O13" i="5" a="1"/>
  <c r="O13" i="5" s="1"/>
  <c r="O7" i="5" a="1"/>
  <c r="O7" i="5" s="1"/>
  <c r="Z11" i="5"/>
  <c r="V24" i="5"/>
  <c r="C41" i="5"/>
  <c r="K27" i="5" a="1"/>
  <c r="K27" i="5" s="1"/>
  <c r="K6" i="5" a="1"/>
  <c r="K6" i="5" s="1"/>
  <c r="O27" i="5" a="1"/>
  <c r="O27" i="5" s="1"/>
  <c r="O26" i="5" a="1"/>
  <c r="O26" i="5" s="1"/>
  <c r="O6" i="5" a="1"/>
  <c r="O6" i="5" s="1"/>
  <c r="K26" i="5" a="1"/>
  <c r="K26" i="5" s="1"/>
  <c r="K23" i="5" a="1"/>
  <c r="K23" i="5" s="1"/>
  <c r="K25" i="5" a="1"/>
  <c r="K25" i="5" s="1"/>
  <c r="O28" i="5" a="1"/>
  <c r="O28" i="5" s="1"/>
  <c r="O23" i="5" a="1"/>
  <c r="O23" i="5" s="1"/>
  <c r="O25" i="5" a="1"/>
  <c r="O25" i="5" s="1"/>
  <c r="K28" i="5" a="1"/>
  <c r="K28" i="5" s="1"/>
  <c r="T11" i="5"/>
  <c r="Y5" i="5"/>
  <c r="Y14" i="5"/>
  <c r="Y4" i="5"/>
  <c r="Y23" i="5"/>
  <c r="Y30" i="5"/>
  <c r="Y13" i="5"/>
  <c r="O4" i="5" a="1"/>
  <c r="O4" i="5" s="1"/>
  <c r="V25" i="5"/>
  <c r="V23" i="5"/>
  <c r="X30" i="5"/>
  <c r="X10" i="5"/>
  <c r="X4" i="5"/>
  <c r="X13" i="5"/>
  <c r="X26" i="5"/>
  <c r="X12" i="5"/>
  <c r="X20" i="5"/>
  <c r="T23" i="5"/>
  <c r="U22" i="5"/>
  <c r="U12" i="5"/>
  <c r="U11" i="5"/>
  <c r="U4" i="5"/>
  <c r="U27" i="5"/>
  <c r="U14" i="5"/>
  <c r="U9" i="5"/>
  <c r="U10" i="5"/>
  <c r="U8" i="5"/>
  <c r="W26" i="5"/>
  <c r="W22" i="5"/>
  <c r="W29" i="5"/>
  <c r="W10" i="5"/>
  <c r="W4" i="5"/>
  <c r="W11" i="5"/>
  <c r="W5" i="5"/>
  <c r="W8" i="5"/>
  <c r="W6" i="5"/>
  <c r="W20" i="5"/>
  <c r="W9" i="5"/>
  <c r="W13" i="5"/>
  <c r="U13" i="5"/>
  <c r="W12" i="5"/>
  <c r="W7" i="5"/>
  <c r="X23" i="5"/>
  <c r="U21" i="5"/>
  <c r="W27" i="5"/>
  <c r="U29" i="5"/>
  <c r="U6" i="5"/>
  <c r="T6" i="5"/>
  <c r="T20" i="5"/>
  <c r="U26" i="5"/>
  <c r="W21" i="5"/>
  <c r="T8" i="5"/>
  <c r="U28" i="5"/>
  <c r="U30" i="5"/>
  <c r="O21" i="5" a="1"/>
  <c r="O21" i="5" s="1"/>
  <c r="T5" i="5"/>
  <c r="S29" i="5"/>
  <c r="Y29" i="5"/>
  <c r="O29" i="5" a="1"/>
  <c r="O29" i="5" s="1"/>
  <c r="V9" i="5"/>
  <c r="K8" i="5" a="1"/>
  <c r="K8" i="5" s="1"/>
  <c r="K4" i="5" a="1"/>
  <c r="K4" i="5" s="1"/>
  <c r="T10" i="5"/>
  <c r="Z14" i="5"/>
  <c r="T26" i="5"/>
  <c r="Z13" i="5"/>
  <c r="V27" i="5"/>
  <c r="T4" i="5"/>
  <c r="X5" i="5"/>
  <c r="K29" i="5" a="1"/>
  <c r="K29" i="5" s="1"/>
  <c r="Z12" i="5"/>
  <c r="K22" i="5" a="1"/>
  <c r="K22" i="5" s="1"/>
  <c r="T25" i="5"/>
  <c r="C44" i="5"/>
  <c r="C46" i="5" s="1"/>
  <c r="X29" i="5"/>
  <c r="X25" i="5"/>
  <c r="S14" i="5"/>
  <c r="Z26" i="5"/>
  <c r="G41" i="5"/>
  <c r="F38" i="5"/>
  <c r="D41" i="5"/>
  <c r="E38" i="5"/>
  <c r="E44" i="5"/>
  <c r="E47" i="5" s="1"/>
  <c r="D44" i="5"/>
  <c r="D47" i="5" s="1"/>
  <c r="H44" i="5"/>
  <c r="H47" i="5" s="1"/>
  <c r="D38" i="5"/>
  <c r="J44" i="5"/>
  <c r="J46" i="5" s="1"/>
  <c r="F44" i="5"/>
  <c r="F47" i="5" s="1"/>
  <c r="H41" i="5"/>
  <c r="G44" i="5"/>
  <c r="G47" i="5" s="1"/>
  <c r="G38" i="5"/>
  <c r="F41" i="5"/>
  <c r="I46" i="5" l="1"/>
  <c r="I45" i="5"/>
  <c r="I48" i="5" s="1"/>
  <c r="AA30" i="5"/>
  <c r="S31" i="5"/>
  <c r="V31" i="5"/>
  <c r="X31" i="5"/>
  <c r="Z31" i="5"/>
  <c r="T31" i="5"/>
  <c r="K40" i="5"/>
  <c r="L28" i="5" s="1"/>
  <c r="U31" i="5"/>
  <c r="O40" i="5"/>
  <c r="P25" i="5" s="1"/>
  <c r="C45" i="5"/>
  <c r="C48" i="5" s="1"/>
  <c r="C47" i="5"/>
  <c r="W31" i="5"/>
  <c r="Y31" i="5"/>
  <c r="AA4" i="5"/>
  <c r="H45" i="5"/>
  <c r="H48" i="5" s="1"/>
  <c r="F46" i="5"/>
  <c r="E46" i="5"/>
  <c r="D45" i="5"/>
  <c r="D48" i="5" s="1"/>
  <c r="E45" i="5"/>
  <c r="E48" i="5" s="1"/>
  <c r="H46" i="5"/>
  <c r="D46" i="5"/>
  <c r="G45" i="5"/>
  <c r="G48" i="5" s="1"/>
  <c r="F45" i="5"/>
  <c r="F48" i="5" s="1"/>
  <c r="G46" i="5"/>
  <c r="J47" i="5"/>
  <c r="J45" i="5"/>
  <c r="J48" i="5" s="1"/>
  <c r="L23" i="5" l="1"/>
  <c r="W33" i="5"/>
  <c r="AB30" i="5" s="1"/>
  <c r="L25" i="5"/>
  <c r="L7" i="5"/>
  <c r="L30" i="5"/>
  <c r="P28" i="5"/>
  <c r="P4" i="5"/>
  <c r="L13" i="5"/>
  <c r="L4" i="5"/>
  <c r="P23" i="5"/>
  <c r="P20" i="5"/>
  <c r="P21" i="5"/>
  <c r="L29" i="5"/>
  <c r="P7" i="5"/>
  <c r="L20" i="5"/>
  <c r="P30" i="5"/>
  <c r="P8" i="5"/>
  <c r="P22" i="5"/>
  <c r="P9" i="5"/>
  <c r="P27" i="5"/>
  <c r="P24" i="5"/>
  <c r="P13" i="5"/>
  <c r="P26" i="5"/>
  <c r="P14" i="5"/>
  <c r="P12" i="5"/>
  <c r="P11" i="5"/>
  <c r="P5" i="5"/>
  <c r="P29" i="5"/>
  <c r="P10" i="5"/>
  <c r="P6" i="5"/>
  <c r="L24" i="5"/>
  <c r="L10" i="5"/>
  <c r="L6" i="5"/>
  <c r="L12" i="5"/>
  <c r="L27" i="5"/>
  <c r="L8" i="5"/>
  <c r="L26" i="5"/>
  <c r="L14" i="5"/>
  <c r="L21" i="5"/>
  <c r="L9" i="5"/>
  <c r="L22" i="5"/>
  <c r="L11" i="5"/>
  <c r="L5" i="5"/>
  <c r="AA5" i="5"/>
  <c r="AA20" i="5"/>
  <c r="AB20" i="5" s="1"/>
  <c r="AA8" i="5"/>
  <c r="AB8" i="5" s="1"/>
  <c r="AA6" i="5"/>
  <c r="AA27" i="5"/>
  <c r="AB27" i="5" s="1"/>
  <c r="AA9" i="5"/>
  <c r="AA11" i="5"/>
  <c r="AA21" i="5"/>
  <c r="AB21" i="5" s="1"/>
  <c r="AA12" i="5"/>
  <c r="AB12" i="5" s="1"/>
  <c r="AA22" i="5"/>
  <c r="AB22" i="5" s="1"/>
  <c r="AA13" i="5"/>
  <c r="AB13" i="5" s="1"/>
  <c r="AA23" i="5"/>
  <c r="AB23" i="5" s="1"/>
  <c r="AA26" i="5"/>
  <c r="AB26" i="5" s="1"/>
  <c r="AA14" i="5"/>
  <c r="AB14" i="5" s="1"/>
  <c r="AA10" i="5"/>
  <c r="AA24" i="5"/>
  <c r="AA25" i="5"/>
  <c r="AB25" i="5" s="1"/>
  <c r="AA28" i="5"/>
  <c r="AA29" i="5"/>
  <c r="AA7" i="5"/>
  <c r="K35" i="3"/>
  <c r="I34" i="3"/>
  <c r="F33" i="3"/>
  <c r="AB11" i="5" l="1"/>
  <c r="AB28" i="5"/>
  <c r="AB9" i="5"/>
  <c r="AB10" i="5"/>
  <c r="AB5" i="5"/>
  <c r="Q5" i="5"/>
  <c r="P36" i="5"/>
  <c r="P37" i="5"/>
  <c r="AB7" i="5"/>
  <c r="AB29" i="5"/>
  <c r="AB4" i="5"/>
  <c r="AB24" i="5"/>
  <c r="AC25" i="5" s="1"/>
  <c r="AB6" i="5"/>
  <c r="Q25" i="5"/>
  <c r="K41" i="3"/>
  <c r="I40" i="3"/>
  <c r="F42" i="3"/>
  <c r="K32" i="3"/>
  <c r="G41" i="3"/>
  <c r="F143" i="3"/>
  <c r="F142" i="3"/>
  <c r="F141" i="3"/>
  <c r="F140" i="3"/>
  <c r="F144" i="3"/>
  <c r="F139" i="3"/>
  <c r="F138" i="3"/>
  <c r="F145" i="3"/>
  <c r="F137" i="3"/>
  <c r="F136" i="3"/>
  <c r="F146" i="3"/>
  <c r="G34" i="3"/>
  <c r="H41" i="3"/>
  <c r="G145" i="3"/>
  <c r="G144" i="3"/>
  <c r="G136" i="3"/>
  <c r="G143" i="3"/>
  <c r="G142" i="3"/>
  <c r="G140" i="3"/>
  <c r="G137" i="3"/>
  <c r="G141" i="3"/>
  <c r="G146" i="3"/>
  <c r="G139" i="3"/>
  <c r="G138" i="3"/>
  <c r="E40" i="3"/>
  <c r="D144" i="3"/>
  <c r="D138" i="3"/>
  <c r="D143" i="3"/>
  <c r="D137" i="3"/>
  <c r="D142" i="3"/>
  <c r="D146" i="3"/>
  <c r="D140" i="3"/>
  <c r="D145" i="3"/>
  <c r="D139" i="3"/>
  <c r="D136" i="3"/>
  <c r="I41" i="3"/>
  <c r="H146" i="3"/>
  <c r="H142" i="3"/>
  <c r="H140" i="3"/>
  <c r="H145" i="3"/>
  <c r="H137" i="3"/>
  <c r="H144" i="3"/>
  <c r="H143" i="3"/>
  <c r="H136" i="3"/>
  <c r="H139" i="3"/>
  <c r="H141" i="3"/>
  <c r="H138" i="3"/>
  <c r="D40" i="3"/>
  <c r="D35" i="3"/>
  <c r="C139" i="3"/>
  <c r="C136" i="3"/>
  <c r="C140" i="3"/>
  <c r="C141" i="3"/>
  <c r="C144" i="3"/>
  <c r="C142" i="3"/>
  <c r="C143" i="3"/>
  <c r="C145" i="3"/>
  <c r="C146" i="3"/>
  <c r="C138" i="3"/>
  <c r="D34" i="3"/>
  <c r="J41" i="3"/>
  <c r="I137" i="3"/>
  <c r="I144" i="3"/>
  <c r="I146" i="3"/>
  <c r="I136" i="3"/>
  <c r="I139" i="3"/>
  <c r="I145" i="3"/>
  <c r="I142" i="3"/>
  <c r="I140" i="3"/>
  <c r="I143" i="3"/>
  <c r="I138" i="3"/>
  <c r="I141" i="3"/>
  <c r="G37" i="3"/>
  <c r="K97" i="3"/>
  <c r="J139" i="3"/>
  <c r="J141" i="3"/>
  <c r="J138" i="3"/>
  <c r="J137" i="3"/>
  <c r="J136" i="3"/>
  <c r="J143" i="3"/>
  <c r="J144" i="3"/>
  <c r="J146" i="3"/>
  <c r="J140" i="3"/>
  <c r="J145" i="3"/>
  <c r="J142" i="3"/>
  <c r="I37" i="3"/>
  <c r="K38" i="3"/>
  <c r="F40" i="3"/>
  <c r="E145" i="3"/>
  <c r="E140" i="3"/>
  <c r="E143" i="3"/>
  <c r="E139" i="3"/>
  <c r="E136" i="3"/>
  <c r="E144" i="3"/>
  <c r="E142" i="3"/>
  <c r="E138" i="3"/>
  <c r="E137" i="3"/>
  <c r="E146" i="3"/>
  <c r="G40" i="3"/>
  <c r="M12" i="5"/>
  <c r="M6" i="5"/>
  <c r="Q9" i="5"/>
  <c r="M27" i="5"/>
  <c r="M24" i="5"/>
  <c r="M5" i="5"/>
  <c r="Q10" i="5"/>
  <c r="M20" i="5"/>
  <c r="L37" i="5"/>
  <c r="M4" i="5"/>
  <c r="L36" i="5"/>
  <c r="Q28" i="5"/>
  <c r="Q22" i="5"/>
  <c r="Q8" i="5"/>
  <c r="Q6" i="5"/>
  <c r="M13" i="5"/>
  <c r="M9" i="5"/>
  <c r="Q11" i="5"/>
  <c r="M23" i="5"/>
  <c r="M30" i="5"/>
  <c r="M21" i="5"/>
  <c r="Q12" i="5"/>
  <c r="Q24" i="5"/>
  <c r="Q27" i="5"/>
  <c r="Q20" i="5"/>
  <c r="Q23" i="5"/>
  <c r="M25" i="5"/>
  <c r="M14" i="5"/>
  <c r="Q14" i="5"/>
  <c r="Q7" i="5"/>
  <c r="Q21" i="5"/>
  <c r="M7" i="5"/>
  <c r="M10" i="5"/>
  <c r="Q30" i="5"/>
  <c r="M11" i="5"/>
  <c r="Q29" i="5"/>
  <c r="M22" i="5"/>
  <c r="M26" i="5"/>
  <c r="Q26" i="5"/>
  <c r="Q4" i="5"/>
  <c r="M28" i="5"/>
  <c r="M8" i="5"/>
  <c r="Q13" i="5"/>
  <c r="M29" i="5"/>
  <c r="E33" i="3"/>
  <c r="H34" i="3"/>
  <c r="D36" i="3"/>
  <c r="H37" i="3"/>
  <c r="D39" i="3"/>
  <c r="H40" i="3"/>
  <c r="E42" i="3"/>
  <c r="G33" i="3"/>
  <c r="J34" i="3"/>
  <c r="F36" i="3"/>
  <c r="J37" i="3"/>
  <c r="F39" i="3"/>
  <c r="J40" i="3"/>
  <c r="G42" i="3"/>
  <c r="E97" i="3"/>
  <c r="E103" i="3"/>
  <c r="E104" i="3" s="1"/>
  <c r="E106" i="3" s="1"/>
  <c r="H33" i="3"/>
  <c r="K34" i="3"/>
  <c r="G36" i="3"/>
  <c r="K37" i="3"/>
  <c r="G39" i="3"/>
  <c r="K40" i="3"/>
  <c r="H42" i="3"/>
  <c r="E39" i="3"/>
  <c r="F103" i="3"/>
  <c r="F104" i="3" s="1"/>
  <c r="F106" i="3" s="1"/>
  <c r="I33" i="3"/>
  <c r="H36" i="3"/>
  <c r="D38" i="3"/>
  <c r="H39" i="3"/>
  <c r="D41" i="3"/>
  <c r="I42" i="3"/>
  <c r="E36" i="3"/>
  <c r="G97" i="3"/>
  <c r="H100" i="3"/>
  <c r="E32" i="3"/>
  <c r="J33" i="3"/>
  <c r="E35" i="3"/>
  <c r="I36" i="3"/>
  <c r="E38" i="3"/>
  <c r="I39" i="3"/>
  <c r="E41" i="3"/>
  <c r="J42" i="3"/>
  <c r="F41" i="3"/>
  <c r="D107" i="3"/>
  <c r="F38" i="3"/>
  <c r="I97" i="3"/>
  <c r="J100" i="3"/>
  <c r="I103" i="3"/>
  <c r="I104" i="3" s="1"/>
  <c r="I106" i="3" s="1"/>
  <c r="G32" i="3"/>
  <c r="K33" i="3"/>
  <c r="G35" i="3"/>
  <c r="K36" i="3"/>
  <c r="G38" i="3"/>
  <c r="F97" i="3"/>
  <c r="F35" i="3"/>
  <c r="J36" i="3"/>
  <c r="J97" i="3"/>
  <c r="J103" i="3"/>
  <c r="J105" i="3" s="1"/>
  <c r="J107" i="3" s="1"/>
  <c r="H32" i="3"/>
  <c r="D37" i="3"/>
  <c r="H38" i="3"/>
  <c r="H97" i="3"/>
  <c r="I100" i="3"/>
  <c r="J39" i="3"/>
  <c r="I32" i="3"/>
  <c r="E34" i="3"/>
  <c r="I35" i="3"/>
  <c r="E37" i="3"/>
  <c r="I38" i="3"/>
  <c r="F32" i="3"/>
  <c r="J32" i="3"/>
  <c r="F34" i="3"/>
  <c r="J35" i="3"/>
  <c r="F37" i="3"/>
  <c r="J38" i="3"/>
  <c r="K105" i="3"/>
  <c r="K107" i="3" s="1"/>
  <c r="F100" i="3"/>
  <c r="G100" i="3"/>
  <c r="G103" i="3"/>
  <c r="G105" i="3" s="1"/>
  <c r="G107" i="3" s="1"/>
  <c r="E100" i="3"/>
  <c r="H103" i="3"/>
  <c r="H105" i="3" s="1"/>
  <c r="H107" i="3" s="1"/>
  <c r="K104" i="3"/>
  <c r="K106" i="3" s="1"/>
  <c r="AC24" i="5" l="1"/>
  <c r="AC7" i="5"/>
  <c r="AC28" i="5"/>
  <c r="AC23" i="5"/>
  <c r="AC21" i="5"/>
  <c r="AC5" i="5"/>
  <c r="AC14" i="5"/>
  <c r="AC27" i="5"/>
  <c r="AT7" i="5"/>
  <c r="AT8" i="5"/>
  <c r="AC13" i="5"/>
  <c r="AC8" i="5"/>
  <c r="AC6" i="5"/>
  <c r="AC30" i="5"/>
  <c r="AC10" i="5"/>
  <c r="AB38" i="5"/>
  <c r="AV5" i="5" s="1"/>
  <c r="AB37" i="5"/>
  <c r="AB36" i="5"/>
  <c r="AC4" i="5"/>
  <c r="AC26" i="5"/>
  <c r="AC9" i="5"/>
  <c r="AC11" i="5"/>
  <c r="AC20" i="5"/>
  <c r="AC29" i="5"/>
  <c r="AC12" i="5"/>
  <c r="AC22" i="5"/>
  <c r="E105" i="3"/>
  <c r="E107" i="3" s="1"/>
  <c r="D106" i="3"/>
  <c r="I105" i="3"/>
  <c r="I107" i="3" s="1"/>
  <c r="C148" i="3"/>
  <c r="C152" i="3"/>
  <c r="C151" i="3"/>
  <c r="C149" i="3"/>
  <c r="C150" i="3" s="1"/>
  <c r="F149" i="3"/>
  <c r="F148" i="3"/>
  <c r="F151" i="3"/>
  <c r="F152" i="3"/>
  <c r="T152" i="3"/>
  <c r="T151" i="3"/>
  <c r="T149" i="3"/>
  <c r="T148" i="3"/>
  <c r="Q148" i="3"/>
  <c r="Q149" i="3"/>
  <c r="Q150" i="3" s="1"/>
  <c r="Q151" i="3"/>
  <c r="Q152" i="3"/>
  <c r="E148" i="3"/>
  <c r="E152" i="3"/>
  <c r="E151" i="3"/>
  <c r="E149" i="3"/>
  <c r="S148" i="3"/>
  <c r="S152" i="3"/>
  <c r="S151" i="3"/>
  <c r="S149" i="3"/>
  <c r="P152" i="3"/>
  <c r="P148" i="3"/>
  <c r="P149" i="3"/>
  <c r="P151" i="3"/>
  <c r="K57" i="3"/>
  <c r="O152" i="3"/>
  <c r="O149" i="3"/>
  <c r="O148" i="3"/>
  <c r="O151" i="3"/>
  <c r="R152" i="3"/>
  <c r="R148" i="3"/>
  <c r="R151" i="3"/>
  <c r="R149" i="3"/>
  <c r="K61" i="3"/>
  <c r="G148" i="3"/>
  <c r="G151" i="3"/>
  <c r="G149" i="3"/>
  <c r="G152" i="3"/>
  <c r="J149" i="3"/>
  <c r="J152" i="3"/>
  <c r="J148" i="3"/>
  <c r="J151" i="3"/>
  <c r="D152" i="3"/>
  <c r="D148" i="3"/>
  <c r="D151" i="3"/>
  <c r="D149" i="3"/>
  <c r="V39" i="3"/>
  <c r="U151" i="3"/>
  <c r="U149" i="3"/>
  <c r="U152" i="3"/>
  <c r="U148" i="3"/>
  <c r="H151" i="3"/>
  <c r="H148" i="3"/>
  <c r="H149" i="3"/>
  <c r="H150" i="3" s="1"/>
  <c r="H152" i="3"/>
  <c r="I151" i="3"/>
  <c r="I149" i="3"/>
  <c r="I152" i="3"/>
  <c r="I148" i="3"/>
  <c r="F105" i="3"/>
  <c r="F107" i="3" s="1"/>
  <c r="N152" i="3"/>
  <c r="N148" i="3"/>
  <c r="N151" i="3"/>
  <c r="N149" i="3"/>
  <c r="AR6" i="5"/>
  <c r="AR8" i="5"/>
  <c r="G60" i="3"/>
  <c r="W54" i="3" s="1"/>
  <c r="G58" i="3"/>
  <c r="G61" i="3"/>
  <c r="G57" i="3"/>
  <c r="J104" i="3"/>
  <c r="J106" i="3" s="1"/>
  <c r="F57" i="3"/>
  <c r="F60" i="3"/>
  <c r="V33" i="3" s="1"/>
  <c r="F58" i="3"/>
  <c r="F61" i="3"/>
  <c r="K58" i="3"/>
  <c r="K60" i="3"/>
  <c r="AA48" i="3" s="1"/>
  <c r="G104" i="3"/>
  <c r="G106" i="3" s="1"/>
  <c r="J58" i="3"/>
  <c r="J60" i="3"/>
  <c r="Z40" i="3" s="1"/>
  <c r="J61" i="3"/>
  <c r="J57" i="3"/>
  <c r="E60" i="3"/>
  <c r="U47" i="3" s="1"/>
  <c r="E61" i="3"/>
  <c r="E58" i="3"/>
  <c r="H60" i="3"/>
  <c r="X34" i="3" s="1"/>
  <c r="H58" i="3"/>
  <c r="H61" i="3"/>
  <c r="H57" i="3"/>
  <c r="D61" i="3"/>
  <c r="D60" i="3"/>
  <c r="T55" i="3" s="1"/>
  <c r="D58" i="3"/>
  <c r="D57" i="3"/>
  <c r="I60" i="3"/>
  <c r="Y34" i="3" s="1"/>
  <c r="I57" i="3"/>
  <c r="I58" i="3"/>
  <c r="I61" i="3"/>
  <c r="H104" i="3"/>
  <c r="H106" i="3" s="1"/>
  <c r="AV7" i="5" l="1"/>
  <c r="AV6" i="5"/>
  <c r="AV8" i="5"/>
  <c r="R25" i="5"/>
  <c r="R5" i="5"/>
  <c r="R14" i="5"/>
  <c r="R12" i="5"/>
  <c r="R21" i="5"/>
  <c r="R28" i="5"/>
  <c r="R4" i="5"/>
  <c r="R24" i="5"/>
  <c r="R8" i="5"/>
  <c r="R10" i="5"/>
  <c r="R23" i="5"/>
  <c r="R27" i="5"/>
  <c r="R22" i="5"/>
  <c r="R26" i="5"/>
  <c r="R7" i="5"/>
  <c r="R6" i="5"/>
  <c r="R13" i="5"/>
  <c r="R20" i="5"/>
  <c r="R30" i="5"/>
  <c r="R9" i="5"/>
  <c r="R11" i="5"/>
  <c r="R29" i="5"/>
  <c r="O150" i="3"/>
  <c r="P32" i="3" a="1"/>
  <c r="P32" i="3" s="1"/>
  <c r="L32" i="3" a="1"/>
  <c r="L32" i="3" s="1"/>
  <c r="J59" i="3"/>
  <c r="N150" i="3"/>
  <c r="V32" i="3"/>
  <c r="Z33" i="3"/>
  <c r="V49" i="3"/>
  <c r="V46" i="3"/>
  <c r="V47" i="3"/>
  <c r="K59" i="3"/>
  <c r="Z46" i="3"/>
  <c r="Z41" i="3"/>
  <c r="T53" i="3"/>
  <c r="Z45" i="3"/>
  <c r="V34" i="3"/>
  <c r="T41" i="3"/>
  <c r="Z52" i="3"/>
  <c r="Z54" i="3"/>
  <c r="Z47" i="3"/>
  <c r="AA39" i="3"/>
  <c r="Z49" i="3"/>
  <c r="V51" i="3"/>
  <c r="P41" i="3" a="1"/>
  <c r="P41" i="3" s="1"/>
  <c r="AA45" i="3"/>
  <c r="AA37" i="3"/>
  <c r="AA34" i="3"/>
  <c r="W47" i="3"/>
  <c r="U35" i="3"/>
  <c r="W41" i="3"/>
  <c r="Z51" i="3"/>
  <c r="Z48" i="3"/>
  <c r="F150" i="3"/>
  <c r="AA33" i="3"/>
  <c r="W46" i="3"/>
  <c r="T52" i="3"/>
  <c r="AA40" i="3"/>
  <c r="T37" i="3"/>
  <c r="Z53" i="3"/>
  <c r="P34" i="3" a="1"/>
  <c r="P34" i="3" s="1"/>
  <c r="W38" i="3"/>
  <c r="Z39" i="3"/>
  <c r="Y49" i="3"/>
  <c r="T48" i="3"/>
  <c r="AA55" i="3"/>
  <c r="AA42" i="3"/>
  <c r="V40" i="3"/>
  <c r="T45" i="3"/>
  <c r="L45" i="3" a="1"/>
  <c r="L45" i="3" s="1"/>
  <c r="G59" i="3"/>
  <c r="Z32" i="3"/>
  <c r="Z37" i="3"/>
  <c r="D150" i="3"/>
  <c r="P38" i="3" a="1"/>
  <c r="P38" i="3" s="1"/>
  <c r="Y55" i="3"/>
  <c r="V53" i="3"/>
  <c r="U42" i="3"/>
  <c r="X45" i="3"/>
  <c r="L48" i="3" a="1"/>
  <c r="L48" i="3" s="1"/>
  <c r="Y38" i="3"/>
  <c r="T38" i="3"/>
  <c r="Z34" i="3"/>
  <c r="V36" i="3"/>
  <c r="Y42" i="3"/>
  <c r="Y41" i="3"/>
  <c r="P47" i="3" a="1"/>
  <c r="P47" i="3" s="1"/>
  <c r="W53" i="3"/>
  <c r="W55" i="3"/>
  <c r="X54" i="3"/>
  <c r="X42" i="3"/>
  <c r="P52" i="3" a="1"/>
  <c r="P52" i="3" s="1"/>
  <c r="Y51" i="3"/>
  <c r="X47" i="3"/>
  <c r="P45" i="3" a="1"/>
  <c r="P45" i="3" s="1"/>
  <c r="U49" i="3"/>
  <c r="U40" i="3"/>
  <c r="P35" i="3" a="1"/>
  <c r="P35" i="3" s="1"/>
  <c r="W37" i="3"/>
  <c r="L42" i="3" a="1"/>
  <c r="L42" i="3" s="1"/>
  <c r="U39" i="3"/>
  <c r="T35" i="3"/>
  <c r="W45" i="3"/>
  <c r="P42" i="3" a="1"/>
  <c r="P42" i="3" s="1"/>
  <c r="U150" i="3"/>
  <c r="W51" i="3"/>
  <c r="D59" i="3"/>
  <c r="E59" i="3"/>
  <c r="AA46" i="3"/>
  <c r="AA35" i="3"/>
  <c r="AA41" i="3"/>
  <c r="U38" i="3"/>
  <c r="Y47" i="3"/>
  <c r="Y37" i="3"/>
  <c r="Y39" i="3"/>
  <c r="Y32" i="3"/>
  <c r="U41" i="3"/>
  <c r="T51" i="3"/>
  <c r="Z42" i="3"/>
  <c r="Z50" i="3"/>
  <c r="X48" i="3"/>
  <c r="Y53" i="3"/>
  <c r="Z55" i="3"/>
  <c r="X51" i="3"/>
  <c r="T42" i="3"/>
  <c r="X50" i="3"/>
  <c r="T34" i="3"/>
  <c r="AA52" i="3"/>
  <c r="X49" i="3"/>
  <c r="W42" i="3"/>
  <c r="Y36" i="3"/>
  <c r="U32" i="3"/>
  <c r="X37" i="3"/>
  <c r="L37" i="3" a="1"/>
  <c r="L37" i="3" s="1"/>
  <c r="X36" i="3"/>
  <c r="U36" i="3"/>
  <c r="Y48" i="3"/>
  <c r="X39" i="3"/>
  <c r="AA47" i="3"/>
  <c r="T33" i="3"/>
  <c r="W49" i="3"/>
  <c r="AA50" i="3"/>
  <c r="AA53" i="3"/>
  <c r="X41" i="3"/>
  <c r="X55" i="3"/>
  <c r="AA51" i="3"/>
  <c r="T32" i="3"/>
  <c r="J150" i="3"/>
  <c r="V38" i="3"/>
  <c r="X33" i="3"/>
  <c r="W52" i="3"/>
  <c r="V35" i="3"/>
  <c r="V50" i="3"/>
  <c r="P33" i="3" a="1"/>
  <c r="P33" i="3" s="1"/>
  <c r="W34" i="3"/>
  <c r="W32" i="3"/>
  <c r="L46" i="3" a="1"/>
  <c r="L46" i="3" s="1"/>
  <c r="P55" i="3" a="1"/>
  <c r="P55" i="3" s="1"/>
  <c r="U53" i="3"/>
  <c r="X32" i="3"/>
  <c r="X35" i="3"/>
  <c r="P46" i="3" a="1"/>
  <c r="P46" i="3" s="1"/>
  <c r="V54" i="3"/>
  <c r="AA54" i="3"/>
  <c r="P40" i="3" a="1"/>
  <c r="P40" i="3" s="1"/>
  <c r="U50" i="3"/>
  <c r="X52" i="3"/>
  <c r="P36" i="3" a="1"/>
  <c r="P36" i="3" s="1"/>
  <c r="W39" i="3"/>
  <c r="P51" i="3" a="1"/>
  <c r="P51" i="3" s="1"/>
  <c r="Y52" i="3"/>
  <c r="Y45" i="3"/>
  <c r="P54" i="3" a="1"/>
  <c r="P54" i="3" s="1"/>
  <c r="AA36" i="3"/>
  <c r="Y54" i="3"/>
  <c r="I150" i="3"/>
  <c r="V45" i="3"/>
  <c r="Y46" i="3"/>
  <c r="U54" i="3"/>
  <c r="U48" i="3"/>
  <c r="T46" i="3"/>
  <c r="U34" i="3"/>
  <c r="P50" i="3" a="1"/>
  <c r="P50" i="3" s="1"/>
  <c r="Y40" i="3"/>
  <c r="P49" i="3" a="1"/>
  <c r="P49" i="3" s="1"/>
  <c r="T40" i="3"/>
  <c r="W50" i="3"/>
  <c r="AA32" i="3"/>
  <c r="T36" i="3"/>
  <c r="Y33" i="3"/>
  <c r="L52" i="3" a="1"/>
  <c r="L52" i="3" s="1"/>
  <c r="X38" i="3"/>
  <c r="H59" i="3"/>
  <c r="P39" i="3" a="1"/>
  <c r="P39" i="3" s="1"/>
  <c r="T54" i="3"/>
  <c r="Z36" i="3"/>
  <c r="X40" i="3"/>
  <c r="Z35" i="3"/>
  <c r="U51" i="3"/>
  <c r="W35" i="3"/>
  <c r="W40" i="3"/>
  <c r="Z38" i="3"/>
  <c r="V52" i="3"/>
  <c r="T50" i="3"/>
  <c r="T49" i="3"/>
  <c r="U33" i="3"/>
  <c r="V42" i="3"/>
  <c r="V55" i="3"/>
  <c r="U55" i="3"/>
  <c r="U45" i="3"/>
  <c r="W36" i="3"/>
  <c r="U46" i="3"/>
  <c r="X46" i="3"/>
  <c r="W48" i="3"/>
  <c r="T39" i="3"/>
  <c r="U37" i="3"/>
  <c r="X53" i="3"/>
  <c r="W33" i="3"/>
  <c r="V37" i="3"/>
  <c r="V48" i="3"/>
  <c r="AA38" i="3"/>
  <c r="P48" i="3" a="1"/>
  <c r="P48" i="3" s="1"/>
  <c r="T47" i="3"/>
  <c r="U52" i="3"/>
  <c r="P37" i="3" a="1"/>
  <c r="P37" i="3" s="1"/>
  <c r="AA49" i="3"/>
  <c r="G150" i="3"/>
  <c r="Y50" i="3"/>
  <c r="P53" i="3" a="1"/>
  <c r="P53" i="3" s="1"/>
  <c r="R150" i="3"/>
  <c r="Y35" i="3"/>
  <c r="V41" i="3"/>
  <c r="N28" i="5"/>
  <c r="N23" i="5"/>
  <c r="N25" i="5"/>
  <c r="N30" i="5"/>
  <c r="N7" i="5"/>
  <c r="N12" i="5"/>
  <c r="N20" i="5"/>
  <c r="N26" i="5"/>
  <c r="N22" i="5"/>
  <c r="N6" i="5"/>
  <c r="N9" i="5"/>
  <c r="N4" i="5"/>
  <c r="N10" i="5"/>
  <c r="N27" i="5"/>
  <c r="N21" i="5"/>
  <c r="N14" i="5"/>
  <c r="N29" i="5"/>
  <c r="N8" i="5"/>
  <c r="N11" i="5"/>
  <c r="N24" i="5"/>
  <c r="N5" i="5"/>
  <c r="N13" i="5"/>
  <c r="L34" i="3" a="1"/>
  <c r="L34" i="3" s="1"/>
  <c r="L38" i="3" a="1"/>
  <c r="L38" i="3" s="1"/>
  <c r="I59" i="3"/>
  <c r="L54" i="3" a="1"/>
  <c r="L54" i="3" s="1"/>
  <c r="L36" i="3" a="1"/>
  <c r="L36" i="3" s="1"/>
  <c r="L33" i="3" a="1"/>
  <c r="L33" i="3" s="1"/>
  <c r="L51" i="3" a="1"/>
  <c r="L51" i="3" s="1"/>
  <c r="F59" i="3"/>
  <c r="L50" i="3" a="1"/>
  <c r="L50" i="3" s="1"/>
  <c r="L55" i="3" a="1"/>
  <c r="L55" i="3" s="1"/>
  <c r="L40" i="3" a="1"/>
  <c r="L40" i="3" s="1"/>
  <c r="L35" i="3" a="1"/>
  <c r="L35" i="3" s="1"/>
  <c r="L49" i="3" a="1"/>
  <c r="L49" i="3" s="1"/>
  <c r="L41" i="3" a="1"/>
  <c r="L41" i="3" s="1"/>
  <c r="L47" i="3" a="1"/>
  <c r="L47" i="3" s="1"/>
  <c r="L53" i="3" a="1"/>
  <c r="L53" i="3" s="1"/>
  <c r="L39" i="3" a="1"/>
  <c r="L39" i="3" s="1"/>
  <c r="AD20" i="5" l="1"/>
  <c r="AD28" i="5"/>
  <c r="AD25" i="5"/>
  <c r="AD26" i="5"/>
  <c r="AD22" i="5"/>
  <c r="AD8" i="5"/>
  <c r="AD13" i="5"/>
  <c r="AD30" i="5"/>
  <c r="AD27" i="5"/>
  <c r="AD23" i="5"/>
  <c r="AD12" i="5"/>
  <c r="AD9" i="5"/>
  <c r="AD14" i="5"/>
  <c r="AD21" i="5"/>
  <c r="AD11" i="5"/>
  <c r="AD10" i="5"/>
  <c r="AD7" i="5"/>
  <c r="AD29" i="5"/>
  <c r="AD5" i="5"/>
  <c r="AD24" i="5"/>
  <c r="AD6" i="5"/>
  <c r="AD4" i="5"/>
  <c r="AB41" i="3"/>
  <c r="AB45" i="3"/>
  <c r="AB37" i="3"/>
  <c r="AB46" i="3"/>
  <c r="AB47" i="3"/>
  <c r="AB53" i="3"/>
  <c r="AB49" i="3"/>
  <c r="AB38" i="3"/>
  <c r="AB50" i="3"/>
  <c r="AB48" i="3"/>
  <c r="Z57" i="3"/>
  <c r="V57" i="3"/>
  <c r="AB52" i="3"/>
  <c r="AB55" i="3"/>
  <c r="T57" i="3"/>
  <c r="AB32" i="3"/>
  <c r="AB51" i="3"/>
  <c r="Y57" i="3"/>
  <c r="W57" i="3"/>
  <c r="AB34" i="3"/>
  <c r="AB35" i="3"/>
  <c r="AB42" i="3"/>
  <c r="AA57" i="3"/>
  <c r="AB33" i="3"/>
  <c r="AB40" i="3"/>
  <c r="AB36" i="3"/>
  <c r="U57" i="3"/>
  <c r="AB39" i="3"/>
  <c r="AB54" i="3"/>
  <c r="X57" i="3"/>
  <c r="L61" i="3"/>
  <c r="AD48" i="3" l="1"/>
  <c r="AD50" i="3"/>
  <c r="AD38" i="3"/>
  <c r="AD41" i="3"/>
  <c r="AD53" i="3"/>
  <c r="AD39" i="3"/>
  <c r="AD35" i="3"/>
  <c r="AD54" i="3"/>
  <c r="AC54" i="3"/>
  <c r="AC42" i="3"/>
  <c r="AD42" i="3"/>
  <c r="AD46" i="3"/>
  <c r="AD36" i="3"/>
  <c r="AD52" i="3"/>
  <c r="AD34" i="3"/>
  <c r="AD45" i="3"/>
  <c r="T58" i="3"/>
  <c r="AC32" i="3" s="1"/>
  <c r="AD40" i="3"/>
  <c r="AC40" i="3"/>
  <c r="AC33" i="3"/>
  <c r="AD33" i="3"/>
  <c r="AD51" i="3"/>
  <c r="AC51" i="3"/>
  <c r="AD37" i="3"/>
  <c r="AD32" i="3"/>
  <c r="AD47" i="3"/>
  <c r="AD49" i="3"/>
  <c r="AD55" i="3"/>
  <c r="M49" i="3"/>
  <c r="M42" i="3"/>
  <c r="M38" i="3"/>
  <c r="M32" i="3"/>
  <c r="Q55" i="3"/>
  <c r="Q33" i="3"/>
  <c r="Q37" i="3"/>
  <c r="Q50" i="3"/>
  <c r="Q48" i="3"/>
  <c r="Q46" i="3"/>
  <c r="Q54" i="3"/>
  <c r="Q34" i="3"/>
  <c r="Q38" i="3"/>
  <c r="Q39" i="3"/>
  <c r="Q47" i="3"/>
  <c r="Q45" i="3"/>
  <c r="Q53" i="3"/>
  <c r="Q35" i="3"/>
  <c r="Q51" i="3"/>
  <c r="Q52" i="3"/>
  <c r="Q36" i="3"/>
  <c r="Q49" i="3"/>
  <c r="Q40" i="3"/>
  <c r="Q41" i="3"/>
  <c r="Q32" i="3"/>
  <c r="Q42" i="3"/>
  <c r="M52" i="3"/>
  <c r="M46" i="3"/>
  <c r="M48" i="3"/>
  <c r="M37" i="3"/>
  <c r="M45" i="3"/>
  <c r="M54" i="3"/>
  <c r="M50" i="3"/>
  <c r="M41" i="3"/>
  <c r="M53" i="3"/>
  <c r="M36" i="3"/>
  <c r="M55" i="3"/>
  <c r="M47" i="3"/>
  <c r="M40" i="3"/>
  <c r="M39" i="3"/>
  <c r="M34" i="3"/>
  <c r="M33" i="3"/>
  <c r="M35" i="3"/>
  <c r="M51" i="3"/>
  <c r="AC36" i="3" l="1"/>
  <c r="N64" i="3"/>
  <c r="N63" i="3"/>
  <c r="AC48" i="3"/>
  <c r="AC50" i="3"/>
  <c r="AC49" i="3"/>
  <c r="AC38" i="3"/>
  <c r="AC46" i="3"/>
  <c r="AC52" i="3"/>
  <c r="AC55" i="3"/>
  <c r="AC47" i="3"/>
  <c r="AC53" i="3"/>
  <c r="AC37" i="3"/>
  <c r="AC41" i="3"/>
  <c r="AC45" i="3"/>
  <c r="AC35" i="3"/>
  <c r="AC39" i="3"/>
  <c r="AC34" i="3"/>
  <c r="Q57" i="3"/>
  <c r="AA21" i="3"/>
  <c r="R38" i="3"/>
  <c r="AC21" i="3"/>
  <c r="R39" i="3"/>
  <c r="R46" i="3"/>
  <c r="R48" i="3"/>
  <c r="R50" i="3"/>
  <c r="R55" i="3"/>
  <c r="R45" i="3"/>
  <c r="R34" i="3"/>
  <c r="R41" i="3"/>
  <c r="R49" i="3"/>
  <c r="R36" i="3"/>
  <c r="R52" i="3"/>
  <c r="R33" i="3"/>
  <c r="R47" i="3"/>
  <c r="R42" i="3"/>
  <c r="R54" i="3"/>
  <c r="R40" i="3"/>
  <c r="R51" i="3"/>
  <c r="R35" i="3"/>
  <c r="R32" i="3"/>
  <c r="Q58" i="3"/>
  <c r="R37" i="3"/>
  <c r="R53" i="3"/>
  <c r="N54" i="3"/>
  <c r="N33" i="3"/>
  <c r="N38" i="3"/>
  <c r="N39" i="3"/>
  <c r="N40" i="3"/>
  <c r="N47" i="3"/>
  <c r="N55" i="3"/>
  <c r="N36" i="3"/>
  <c r="N53" i="3"/>
  <c r="N41" i="3"/>
  <c r="N50" i="3"/>
  <c r="N46" i="3"/>
  <c r="N34" i="3"/>
  <c r="N42" i="3"/>
  <c r="M57" i="3"/>
  <c r="N32" i="3"/>
  <c r="M58" i="3"/>
  <c r="N45" i="3"/>
  <c r="N37" i="3"/>
  <c r="N48" i="3"/>
  <c r="N51" i="3"/>
  <c r="N35" i="3"/>
  <c r="N49" i="3"/>
  <c r="N52" i="3"/>
  <c r="Q51" i="1"/>
  <c r="P51" i="1"/>
  <c r="N51" i="1"/>
  <c r="M51" i="1"/>
  <c r="M52" i="1" s="1"/>
  <c r="K51" i="1"/>
  <c r="K52" i="1" s="1"/>
  <c r="J51" i="1"/>
  <c r="J52" i="1" s="1"/>
  <c r="H51" i="1"/>
  <c r="G51" i="1"/>
  <c r="Q50" i="1"/>
  <c r="P50" i="1"/>
  <c r="N50" i="1"/>
  <c r="M50" i="1"/>
  <c r="K50" i="1"/>
  <c r="J50" i="1"/>
  <c r="H50" i="1"/>
  <c r="G50" i="1"/>
  <c r="Q49" i="1"/>
  <c r="P49" i="1"/>
  <c r="N49" i="1"/>
  <c r="M49" i="1"/>
  <c r="K49" i="1"/>
  <c r="J49" i="1"/>
  <c r="H49" i="1"/>
  <c r="G49" i="1"/>
  <c r="E51" i="1"/>
  <c r="D51" i="1"/>
  <c r="D52" i="1" s="1"/>
  <c r="E50" i="1"/>
  <c r="D50" i="1"/>
  <c r="E49" i="1"/>
  <c r="D49" i="1"/>
  <c r="Q48" i="1"/>
  <c r="P48" i="1"/>
  <c r="N48" i="1"/>
  <c r="M48" i="1"/>
  <c r="K48" i="1"/>
  <c r="J48" i="1"/>
  <c r="H48" i="1"/>
  <c r="G48" i="1"/>
  <c r="E48" i="1"/>
  <c r="D48" i="1"/>
  <c r="X35" i="1"/>
  <c r="W44" i="1"/>
  <c r="T38" i="1"/>
  <c r="Z23" i="1"/>
  <c r="Z35" i="1" s="1"/>
  <c r="Y23" i="1"/>
  <c r="X38" i="1" s="1"/>
  <c r="W23" i="1"/>
  <c r="W40" i="1" s="1"/>
  <c r="V23" i="1"/>
  <c r="U38" i="1" s="1"/>
  <c r="T23" i="1"/>
  <c r="T37" i="1" s="1"/>
  <c r="S23" i="1"/>
  <c r="R43" i="1" s="1"/>
  <c r="Q23" i="1"/>
  <c r="P23" i="1"/>
  <c r="M23" i="1"/>
  <c r="N23" i="1"/>
  <c r="K23" i="1"/>
  <c r="J23" i="1"/>
  <c r="H23" i="1"/>
  <c r="G23" i="1"/>
  <c r="Z22" i="1"/>
  <c r="Y22" i="1"/>
  <c r="W22" i="1"/>
  <c r="V22" i="1"/>
  <c r="T22" i="1"/>
  <c r="S22" i="1"/>
  <c r="Q22" i="1"/>
  <c r="P22" i="1"/>
  <c r="N22" i="1"/>
  <c r="M22" i="1"/>
  <c r="K22" i="1"/>
  <c r="J22" i="1"/>
  <c r="H22" i="1"/>
  <c r="G22" i="1"/>
  <c r="Y21" i="1"/>
  <c r="Z21" i="1"/>
  <c r="W21" i="1"/>
  <c r="V21" i="1"/>
  <c r="T21" i="1"/>
  <c r="S21" i="1"/>
  <c r="Q21" i="1"/>
  <c r="P21" i="1"/>
  <c r="N21" i="1"/>
  <c r="M21" i="1"/>
  <c r="K21" i="1"/>
  <c r="J21" i="1"/>
  <c r="H21" i="1"/>
  <c r="G21" i="1"/>
  <c r="Y20" i="1"/>
  <c r="Z20" i="1"/>
  <c r="W20" i="1"/>
  <c r="V20" i="1"/>
  <c r="T20" i="1"/>
  <c r="S20" i="1"/>
  <c r="Q20" i="1"/>
  <c r="P20" i="1"/>
  <c r="N20" i="1"/>
  <c r="M20" i="1"/>
  <c r="K20" i="1"/>
  <c r="J20" i="1"/>
  <c r="H20" i="1"/>
  <c r="G20" i="1"/>
  <c r="D23" i="1"/>
  <c r="E23" i="1"/>
  <c r="D22" i="1"/>
  <c r="E22" i="1"/>
  <c r="E21" i="1"/>
  <c r="D21" i="1"/>
  <c r="D20" i="1"/>
  <c r="E20" i="1"/>
  <c r="AC58" i="3" l="1"/>
  <c r="AC59" i="3"/>
  <c r="AC57" i="3"/>
  <c r="R38" i="1"/>
  <c r="G24" i="1"/>
  <c r="U39" i="1"/>
  <c r="H24" i="1"/>
  <c r="U37" i="1"/>
  <c r="U41" i="1"/>
  <c r="J24" i="1"/>
  <c r="R42" i="1"/>
  <c r="U36" i="1"/>
  <c r="R39" i="1"/>
  <c r="W38" i="1"/>
  <c r="R37" i="1"/>
  <c r="W37" i="1"/>
  <c r="R40" i="1"/>
  <c r="W36" i="1"/>
  <c r="G52" i="1"/>
  <c r="R44" i="1"/>
  <c r="U40" i="1"/>
  <c r="T34" i="1"/>
  <c r="T48" i="1" s="1"/>
  <c r="W35" i="1"/>
  <c r="H52" i="1"/>
  <c r="T43" i="1"/>
  <c r="Z41" i="1"/>
  <c r="Z44" i="1"/>
  <c r="Z40" i="1"/>
  <c r="Q25" i="1"/>
  <c r="E24" i="1"/>
  <c r="Z34" i="1"/>
  <c r="S25" i="1"/>
  <c r="N24" i="1"/>
  <c r="D24" i="1"/>
  <c r="M24" i="1"/>
  <c r="R41" i="1"/>
  <c r="X43" i="1"/>
  <c r="X34" i="1"/>
  <c r="Y48" i="1" s="1"/>
  <c r="X42" i="1"/>
  <c r="X44" i="1"/>
  <c r="X37" i="1"/>
  <c r="K24" i="1"/>
  <c r="R36" i="1"/>
  <c r="X36" i="1"/>
  <c r="N52" i="1"/>
  <c r="P52" i="1"/>
  <c r="T36" i="1"/>
  <c r="W34" i="1"/>
  <c r="Z43" i="1"/>
  <c r="E52" i="1"/>
  <c r="Z39" i="1"/>
  <c r="T35" i="1"/>
  <c r="W39" i="1"/>
  <c r="Z42" i="1"/>
  <c r="V25" i="1"/>
  <c r="Q52" i="1"/>
  <c r="T25" i="1"/>
  <c r="W25" i="1"/>
  <c r="G25" i="1"/>
  <c r="Z25" i="1"/>
  <c r="S24" i="1"/>
  <c r="R35" i="1"/>
  <c r="T44" i="1"/>
  <c r="U35" i="1"/>
  <c r="H25" i="1"/>
  <c r="T24" i="1"/>
  <c r="U44" i="1"/>
  <c r="V24" i="1"/>
  <c r="K25" i="1"/>
  <c r="W24" i="1"/>
  <c r="T41" i="1"/>
  <c r="R34" i="1"/>
  <c r="W43" i="1"/>
  <c r="X41" i="1"/>
  <c r="Z38" i="1"/>
  <c r="M25" i="1"/>
  <c r="Y24" i="1"/>
  <c r="T40" i="1"/>
  <c r="U34" i="1"/>
  <c r="W42" i="1"/>
  <c r="X40" i="1"/>
  <c r="Z37" i="1"/>
  <c r="T42" i="1"/>
  <c r="E25" i="1"/>
  <c r="N25" i="1"/>
  <c r="Z24" i="1"/>
  <c r="T39" i="1"/>
  <c r="U43" i="1"/>
  <c r="W41" i="1"/>
  <c r="X39" i="1"/>
  <c r="Z36" i="1"/>
  <c r="Y25" i="1"/>
  <c r="J25" i="1"/>
  <c r="D25" i="1"/>
  <c r="P25" i="1"/>
  <c r="U42" i="1"/>
  <c r="AA24" i="3"/>
  <c r="AA22" i="3"/>
  <c r="AA23" i="3"/>
  <c r="AC22" i="3"/>
  <c r="S45" i="3" s="1"/>
  <c r="AC23" i="3"/>
  <c r="AC24" i="3"/>
  <c r="P24" i="1"/>
  <c r="Q24" i="1"/>
  <c r="AE22" i="3" l="1"/>
  <c r="AE23" i="3"/>
  <c r="AE24" i="3"/>
  <c r="AE21" i="3"/>
  <c r="T50" i="1"/>
  <c r="W50" i="1"/>
  <c r="Z50" i="1"/>
  <c r="Z51" i="1"/>
  <c r="Y51" i="1"/>
  <c r="Z52" i="1"/>
  <c r="W49" i="1"/>
  <c r="Z48" i="1"/>
  <c r="T51" i="1"/>
  <c r="T52" i="1" s="1"/>
  <c r="T49" i="1"/>
  <c r="W51" i="1"/>
  <c r="W52" i="1" s="1"/>
  <c r="Y50" i="1"/>
  <c r="Z49" i="1"/>
  <c r="V48" i="1"/>
  <c r="V50" i="1"/>
  <c r="V51" i="1"/>
  <c r="V52" i="1" s="1"/>
  <c r="V49" i="1"/>
  <c r="S49" i="1"/>
  <c r="S51" i="1"/>
  <c r="S48" i="1"/>
  <c r="S50" i="1"/>
  <c r="W48" i="1"/>
  <c r="Y49" i="1"/>
  <c r="S46" i="3"/>
  <c r="S38" i="3"/>
  <c r="S47" i="3"/>
  <c r="S33" i="3"/>
  <c r="S42" i="3"/>
  <c r="S54" i="3"/>
  <c r="S41" i="3"/>
  <c r="S40" i="3"/>
  <c r="S48" i="3"/>
  <c r="S39" i="3"/>
  <c r="S55" i="3"/>
  <c r="S53" i="3"/>
  <c r="S49" i="3"/>
  <c r="S37" i="3"/>
  <c r="S52" i="3"/>
  <c r="S35" i="3"/>
  <c r="S51" i="3"/>
  <c r="S50" i="3"/>
  <c r="S36" i="3"/>
  <c r="S32" i="3"/>
  <c r="S34" i="3"/>
  <c r="O49" i="3"/>
  <c r="O38" i="3"/>
  <c r="O34" i="3"/>
  <c r="O54" i="3"/>
  <c r="O48" i="3"/>
  <c r="O36" i="3"/>
  <c r="O51" i="3"/>
  <c r="O33" i="3"/>
  <c r="O53" i="3"/>
  <c r="O42" i="3"/>
  <c r="O39" i="3"/>
  <c r="O41" i="3"/>
  <c r="O35" i="3"/>
  <c r="O32" i="3"/>
  <c r="O50" i="3"/>
  <c r="O52" i="3"/>
  <c r="O40" i="3"/>
  <c r="O45" i="3"/>
  <c r="O47" i="3"/>
  <c r="O46" i="3"/>
  <c r="O37" i="3"/>
  <c r="O55" i="3"/>
  <c r="AE35" i="3" l="1"/>
  <c r="AE51" i="3"/>
  <c r="AE55" i="3"/>
  <c r="AE41" i="3"/>
  <c r="AE36" i="3"/>
  <c r="AE46" i="3"/>
  <c r="AE37" i="3"/>
  <c r="AE47" i="3"/>
  <c r="AE33" i="3"/>
  <c r="AE53" i="3"/>
  <c r="AE54" i="3"/>
  <c r="AE50" i="3"/>
  <c r="AE40" i="3"/>
  <c r="AE45" i="3"/>
  <c r="AE34" i="3"/>
  <c r="AE32" i="3"/>
  <c r="AE48" i="3"/>
  <c r="AE42" i="3"/>
  <c r="AE52" i="3"/>
  <c r="AE49" i="3"/>
  <c r="AE38" i="3"/>
  <c r="AE39" i="3"/>
  <c r="Y52" i="1"/>
  <c r="S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<sst xmlns="http://schemas.openxmlformats.org/spreadsheetml/2006/main" count="1164" uniqueCount="132">
  <si>
    <t>Analiza wskaźników zrównoważonego rozwoju (SDG - Sustainable Development Goals ) w krajach europy środkowo-wschodniej w latach 2015 i 2023</t>
  </si>
  <si>
    <t>Stymulanta</t>
  </si>
  <si>
    <t>Destymulanta</t>
  </si>
  <si>
    <t>X1 – PKB na mieszkańca wg standardu siły nabywczej (PPS)</t>
  </si>
  <si>
    <t>X2 – Oczekiwana długość życia w momencie urodzenia (Lata)</t>
  </si>
  <si>
    <t>X3 – Nakłady na badania i rozwój (GERD) (% PKB)</t>
  </si>
  <si>
    <t>X4 – Odsetek osób z wyższym wykształceniem (%)</t>
  </si>
  <si>
    <t>X5 – High-tech exports (%)</t>
  </si>
  <si>
    <t xml:space="preserve">X6 – Zharmonizowana stopa bezrobocia (%) </t>
  </si>
  <si>
    <t xml:space="preserve">X7 – Zagrożenie ubóstwem lub wykluczeniem społecznym (AROPE) (%) </t>
  </si>
  <si>
    <t>X8 – Emisje gazów cieplarnianych na mieszkańca</t>
  </si>
  <si>
    <t>Bułgaria</t>
  </si>
  <si>
    <t>Chorwacja</t>
  </si>
  <si>
    <t>Czechy</t>
  </si>
  <si>
    <t>34,664,5</t>
  </si>
  <si>
    <t>Estonia</t>
  </si>
  <si>
    <t>Litwa</t>
  </si>
  <si>
    <t>Łotwa</t>
  </si>
  <si>
    <t>Węgry</t>
  </si>
  <si>
    <t>Polska</t>
  </si>
  <si>
    <t>Rumunia</t>
  </si>
  <si>
    <t>Słowacja</t>
  </si>
  <si>
    <t>Słowenia</t>
  </si>
  <si>
    <t>Stymulanty</t>
  </si>
  <si>
    <t>X1 – PKB na mieszkańca wg standardu siły nabywczej (PPS) Im wyższa wartość, tym wyższa zamożność społeczeństwa i siła gospodarki, skorygowana o lokalne różnice w cenach.</t>
  </si>
  <si>
    <t>X2 – Oczekiwana długość życia w momencie urodzenia (Lata) Im wyższa długość życia, tym lepszy ogólny poziom zdrowia społeczeństwa, jakość opieki medycznej i warunków życia.</t>
  </si>
  <si>
    <t>X3 – Nakłady na badania i rozwój (GERD) (% PKB) Wyższy poziom wydatków na B+R sprzyja innowacjom, konkurencyjności gospodarki i budowaniu gospodarki opartej na wiedzy.</t>
  </si>
  <si>
    <t>X4 – Odsetek osób z wyższym wykształceniem (%) Wysoki udział osób z wyższym wykształceniem sprzyja wzrostowi kapitału ludzkiego i potencjału innowacyjnego kraju.</t>
  </si>
  <si>
    <t>X5 – High-tech exports (%) – więcej eksportu wysokich technologii świadczy o lepszym stanie gospodarczym i materialnym</t>
  </si>
  <si>
    <t>Destymulanty</t>
  </si>
  <si>
    <t>X6 – Zharmonizowana stopa bezrobocia (%) Im niższy odsetek, tym lepsza sytuacja na rynku pracy i mniejsze problemy społeczne związane z brakiem zatrudnienia.</t>
  </si>
  <si>
    <t>X7 – Zagrożenie ubóstwem lub wykluczeniem społecznym (AROPE) (%) Im mniejszy odsetek, tym wyższy poziom spójności społecznej, mniejsze nierówności i lepsza jakość życia obywateli.</t>
  </si>
  <si>
    <t>X8 – Emisje gazów cieplarnianych na mieszkańca – mniejsze emisje to lepsza jakość powietrza oraz zanieczyszczenie środowiska</t>
  </si>
  <si>
    <t>Średnia</t>
  </si>
  <si>
    <t>Odchylenie Standardowe</t>
  </si>
  <si>
    <t>Minimum</t>
  </si>
  <si>
    <t>Maximum</t>
  </si>
  <si>
    <t>Rozstęp</t>
  </si>
  <si>
    <t>Współczynnik Zmienności (%)</t>
  </si>
  <si>
    <t>Zmienna X2 to quasi-stała(słabo różnicuje obiekty), zostawiono ze względu na kluczowe znaczenie merytoryczne</t>
  </si>
  <si>
    <t>Stymulacja -&gt; odjęcie danej wartości od wartości maksymalnej</t>
  </si>
  <si>
    <t>Wstępna analiza danych</t>
  </si>
  <si>
    <t>Zastąpienie zmiennych odstających odpowiednio wąsem dolnym oraz górnym:</t>
  </si>
  <si>
    <t>X1</t>
  </si>
  <si>
    <t>X2</t>
  </si>
  <si>
    <t>X3</t>
  </si>
  <si>
    <t>X4</t>
  </si>
  <si>
    <t>X5</t>
  </si>
  <si>
    <t>X6</t>
  </si>
  <si>
    <t>X7</t>
  </si>
  <si>
    <t>X8</t>
  </si>
  <si>
    <t>średnia</t>
  </si>
  <si>
    <t>odch stand</t>
  </si>
  <si>
    <t>V</t>
  </si>
  <si>
    <t>min</t>
  </si>
  <si>
    <t>max</t>
  </si>
  <si>
    <t>rozstep</t>
  </si>
  <si>
    <t>kwartyl 1</t>
  </si>
  <si>
    <t>kwartyl 3</t>
  </si>
  <si>
    <t>IQR</t>
  </si>
  <si>
    <t>wąs dolny</t>
  </si>
  <si>
    <t>wąs górny</t>
  </si>
  <si>
    <t>Czy odstaje w dół</t>
  </si>
  <si>
    <t xml:space="preserve">czy odstaje w górę </t>
  </si>
  <si>
    <t>Macierz korelacji</t>
  </si>
  <si>
    <t>Istnieją silne zależności pomiędzy X2 i X3, jdednak nie są one liniowo zależne</t>
  </si>
  <si>
    <t>Zastosowano wspólne progi dla lat 2015 i 2023 (obliczone dla połączonego zbioru).</t>
  </si>
  <si>
    <t>grupy SMR waga 1:</t>
  </si>
  <si>
    <t>grupy SMR waga 2:</t>
  </si>
  <si>
    <t>grupy BZW:</t>
  </si>
  <si>
    <t>śr-odch</t>
  </si>
  <si>
    <t>śr+odch</t>
  </si>
  <si>
    <t>SMR waga 1</t>
  </si>
  <si>
    <t>SMR waga 2</t>
  </si>
  <si>
    <t>Dane do BZW</t>
  </si>
  <si>
    <t>Odl. Od wzorca</t>
  </si>
  <si>
    <t>Zi</t>
  </si>
  <si>
    <t>R1</t>
  </si>
  <si>
    <t>Gr1</t>
  </si>
  <si>
    <t>R2</t>
  </si>
  <si>
    <t>Gr2</t>
  </si>
  <si>
    <t>X1*</t>
  </si>
  <si>
    <t>X2*</t>
  </si>
  <si>
    <t>X3*</t>
  </si>
  <si>
    <t>X4*</t>
  </si>
  <si>
    <t>X5*</t>
  </si>
  <si>
    <t>X6*</t>
  </si>
  <si>
    <t>X7*</t>
  </si>
  <si>
    <t>X8*</t>
  </si>
  <si>
    <t>Zij</t>
  </si>
  <si>
    <t>BZW</t>
  </si>
  <si>
    <t>R3</t>
  </si>
  <si>
    <t>Gr3</t>
  </si>
  <si>
    <t>Uzyskane wagi mają marginalny wpływ na zmianę pozycji obiektu badanego</t>
  </si>
  <si>
    <t>rankingi zmieniają się jedynie w niewielkim stopniu (przesunięcia o 1-2 pozycje) lub wcale.</t>
  </si>
  <si>
    <t>max:</t>
  </si>
  <si>
    <t>suma max</t>
  </si>
  <si>
    <t>wagi jednakowe</t>
  </si>
  <si>
    <t>średnia 2015 Zi</t>
  </si>
  <si>
    <t>wagi wg wsp korelacji</t>
  </si>
  <si>
    <t>średnia 2023 Zi</t>
  </si>
  <si>
    <t>Ogólny rozwój regionu 2015 -&gt; 2023</t>
  </si>
  <si>
    <t>Moduł macierzy korelacji</t>
  </si>
  <si>
    <t>suma rij</t>
  </si>
  <si>
    <t>1/suma rij</t>
  </si>
  <si>
    <t>suma kontrolna (powino być 1)</t>
  </si>
  <si>
    <t>Wj</t>
  </si>
  <si>
    <t>2.Unitaryzacja</t>
  </si>
  <si>
    <t>Od od wzorca</t>
  </si>
  <si>
    <t>grupy skupienia</t>
  </si>
  <si>
    <t>Porównanie rankingów podział na sposoby normalizacji:</t>
  </si>
  <si>
    <t>Standaryzacja</t>
  </si>
  <si>
    <t>Unitaryzacja</t>
  </si>
  <si>
    <t>SMR/waga 1</t>
  </si>
  <si>
    <t>SMR/waga 2</t>
  </si>
  <si>
    <r>
      <rPr>
        <b/>
        <sz val="11"/>
        <color theme="1"/>
        <rFont val="Aptos Narrow"/>
        <family val="2"/>
        <scheme val="minor"/>
      </rPr>
      <t>SMR waga 2</t>
    </r>
    <r>
      <rPr>
        <sz val="11"/>
        <color theme="1"/>
        <rFont val="Aptos Narrow"/>
        <family val="2"/>
        <charset val="238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standaryzacja</t>
    </r>
    <r>
      <rPr>
        <sz val="11"/>
        <color theme="1"/>
        <rFont val="Aptos Narrow"/>
        <family val="2"/>
        <charset val="238"/>
        <scheme val="minor"/>
      </rPr>
      <t xml:space="preserve"> najlepsza</t>
    </r>
  </si>
  <si>
    <r>
      <rPr>
        <b/>
        <sz val="11"/>
        <color theme="1"/>
        <rFont val="Aptos Narrow"/>
        <family val="2"/>
        <scheme val="minor"/>
      </rPr>
      <t>BZW</t>
    </r>
    <r>
      <rPr>
        <sz val="11"/>
        <color theme="1"/>
        <rFont val="Aptos Narrow"/>
        <family val="2"/>
        <charset val="238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standaryzacja</t>
    </r>
    <r>
      <rPr>
        <sz val="11"/>
        <color theme="1"/>
        <rFont val="Aptos Narrow"/>
        <family val="2"/>
        <charset val="238"/>
        <scheme val="minor"/>
      </rPr>
      <t xml:space="preserve"> najlepsza</t>
    </r>
  </si>
  <si>
    <t>Porównanie grup:</t>
  </si>
  <si>
    <r>
      <rPr>
        <b/>
        <sz val="11"/>
        <rFont val="Calibri"/>
        <family val="2"/>
        <charset val="238"/>
      </rPr>
      <t>Standaryzacja SMR waga</t>
    </r>
    <r>
      <rPr>
        <sz val="11"/>
        <rFont val="Calibri"/>
        <family val="2"/>
        <charset val="238"/>
      </rPr>
      <t xml:space="preserve"> </t>
    </r>
    <r>
      <rPr>
        <b/>
        <sz val="11"/>
        <rFont val="Calibri"/>
        <family val="2"/>
        <charset val="238"/>
      </rPr>
      <t>1</t>
    </r>
    <r>
      <rPr>
        <sz val="11"/>
        <rFont val="Calibri"/>
        <family val="2"/>
        <charset val="238"/>
      </rPr>
      <t xml:space="preserve"> najlepsza</t>
    </r>
  </si>
  <si>
    <r>
      <rPr>
        <b/>
        <sz val="11"/>
        <rFont val="Calibri"/>
        <family val="2"/>
        <charset val="238"/>
      </rPr>
      <t>Unitaryzacja SMR waga 2</t>
    </r>
    <r>
      <rPr>
        <sz val="11"/>
        <rFont val="Calibri"/>
        <family val="2"/>
        <charset val="238"/>
      </rPr>
      <t xml:space="preserve"> najlepsza</t>
    </r>
  </si>
  <si>
    <t>SMR</t>
  </si>
  <si>
    <t>waga 1</t>
  </si>
  <si>
    <t>waga 2</t>
  </si>
  <si>
    <r>
      <rPr>
        <b/>
        <sz val="11"/>
        <color theme="1"/>
        <rFont val="Aptos Narrow"/>
        <family val="2"/>
        <scheme val="minor"/>
      </rPr>
      <t>Unitaryzacja waga 1</t>
    </r>
    <r>
      <rPr>
        <sz val="11"/>
        <color theme="1"/>
        <rFont val="Aptos Narrow"/>
        <family val="2"/>
        <charset val="238"/>
        <scheme val="minor"/>
      </rPr>
      <t xml:space="preserve"> najlepsza</t>
    </r>
  </si>
  <si>
    <r>
      <rPr>
        <b/>
        <sz val="11"/>
        <color theme="1"/>
        <rFont val="Aptos Narrow"/>
        <family val="2"/>
        <scheme val="minor"/>
      </rPr>
      <t>Standaryzacja waga 1</t>
    </r>
    <r>
      <rPr>
        <sz val="11"/>
        <color theme="1"/>
        <rFont val="Aptos Narrow"/>
        <family val="2"/>
        <charset val="238"/>
        <scheme val="minor"/>
      </rPr>
      <t xml:space="preserve"> najlepsza</t>
    </r>
  </si>
  <si>
    <t>Bardzo silna korelacja, prawie liniowa pomiędzy standaryzacją a unitaryzacją biorąc pod uwagę BZW</t>
  </si>
  <si>
    <t>Porównanie jak zmieni się średnia, odchylenie standardowe i wspólczynnik zmienności zestandaryzowanych zmiennych w poszczególnych latach</t>
  </si>
  <si>
    <t>och stand</t>
  </si>
  <si>
    <t>Dane zestandaryzowane</t>
  </si>
  <si>
    <t>wsp zmienności</t>
  </si>
  <si>
    <t>Średnia w obu latach jest zbliżona do zera, odchylenie standardowe do 1, natomiast współczynnik zmienności dla poszczególnych zmiennych jest równie niski w roku 2015 jak i 2023</t>
  </si>
  <si>
    <t>srednia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</si>
</sst>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0"/>
  </numFmts>
  <fonts count="14">
    <font>
      <sz val="11"/>
      <color theme="1"/>
      <name val="Aptos Narrow"/>
      <family val="2"/>
      <charset val="238"/>
      <scheme val="minor"/>
    </font>
    <font>
      <sz val="12"/>
      <color theme="1"/>
      <name val="Calibri"/>
      <family val="2"/>
      <charset val="238"/>
    </font>
    <font>
      <sz val="11"/>
      <color rgb="FFFF0000"/>
      <name val="Aptos Narrow"/>
      <family val="2"/>
      <charset val="238"/>
      <scheme val="minor"/>
    </font>
    <font>
      <sz val="11"/>
      <color theme="9" tint="-0.499984740745262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  <charset val="238"/>
    </font>
    <font>
      <sz val="10"/>
      <name val="Arial"/>
      <family val="2"/>
      <charset val="238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b/>
      <sz val="10"/>
      <name val="Arial"/>
      <family val="2"/>
      <charset val="238"/>
    </font>
    <font>
      <b/>
      <i/>
      <sz val="11"/>
      <color theme="1"/>
      <name val="Aptos Narrow"/>
      <family val="2"/>
      <scheme val="minor"/>
    </font>
    <font>
      <sz val="11"/>
      <name val="Calibri"/>
      <family val="2"/>
      <charset val="238"/>
    </font>
    <font>
      <b/>
      <sz val="12"/>
      <color theme="1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  <fill>
      <patternFill patternType="solid">
        <fgColor rgb="FFDCE6F2"/>
        <bgColor rgb="FFDDDDDD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257">
    <xf numFmtId="0" fontId="0" fillId="0" borderId="0" xfId="0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8" xfId="0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2" fontId="0" fillId="0" borderId="8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49" fontId="0" fillId="0" borderId="8" xfId="0" applyNumberFormat="1" applyBorder="1" applyAlignment="1">
      <alignment horizontal="right"/>
    </xf>
    <xf numFmtId="0" fontId="4" fillId="0" borderId="0" xfId="1"/>
    <xf numFmtId="2" fontId="0" fillId="0" borderId="0" xfId="0" applyNumberFormat="1"/>
    <xf numFmtId="0" fontId="7" fillId="0" borderId="0" xfId="0" applyFont="1"/>
    <xf numFmtId="2" fontId="0" fillId="0" borderId="3" xfId="0" applyNumberFormat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7" fillId="0" borderId="18" xfId="0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6" fillId="0" borderId="0" xfId="0" applyFont="1"/>
    <xf numFmtId="0" fontId="0" fillId="6" borderId="0" xfId="0" applyFill="1"/>
    <xf numFmtId="2" fontId="8" fillId="0" borderId="2" xfId="0" applyNumberFormat="1" applyFont="1" applyBorder="1" applyAlignment="1">
      <alignment horizontal="right"/>
    </xf>
    <xf numFmtId="2" fontId="8" fillId="0" borderId="0" xfId="0" applyNumberFormat="1" applyFont="1" applyAlignment="1">
      <alignment horizontal="right"/>
    </xf>
    <xf numFmtId="2" fontId="8" fillId="0" borderId="7" xfId="0" applyNumberFormat="1" applyFont="1" applyBorder="1" applyAlignment="1">
      <alignment horizontal="right"/>
    </xf>
    <xf numFmtId="0" fontId="5" fillId="0" borderId="0" xfId="0" applyFont="1"/>
    <xf numFmtId="0" fontId="0" fillId="0" borderId="13" xfId="0" applyBorder="1"/>
    <xf numFmtId="0" fontId="9" fillId="0" borderId="12" xfId="0" applyFont="1" applyBorder="1" applyAlignment="1">
      <alignment horizontal="center"/>
    </xf>
    <xf numFmtId="0" fontId="0" fillId="5" borderId="0" xfId="0" applyFill="1"/>
    <xf numFmtId="0" fontId="0" fillId="0" borderId="0" xfId="0" applyAlignment="1">
      <alignment vertical="center" wrapText="1"/>
    </xf>
    <xf numFmtId="0" fontId="1" fillId="0" borderId="3" xfId="0" applyFont="1" applyBorder="1"/>
    <xf numFmtId="0" fontId="0" fillId="0" borderId="15" xfId="0" applyBorder="1"/>
    <xf numFmtId="0" fontId="0" fillId="0" borderId="17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5" fillId="0" borderId="15" xfId="0" applyFont="1" applyBorder="1" applyAlignment="1">
      <alignment horizontal="center" wrapText="1"/>
    </xf>
    <xf numFmtId="0" fontId="5" fillId="0" borderId="16" xfId="0" applyFont="1" applyBorder="1" applyAlignment="1">
      <alignment horizontal="center" wrapText="1"/>
    </xf>
    <xf numFmtId="0" fontId="5" fillId="7" borderId="0" xfId="0" applyFont="1" applyFill="1"/>
    <xf numFmtId="0" fontId="0" fillId="7" borderId="0" xfId="0" applyFill="1"/>
    <xf numFmtId="0" fontId="5" fillId="8" borderId="0" xfId="0" applyFont="1" applyFill="1"/>
    <xf numFmtId="0" fontId="0" fillId="8" borderId="0" xfId="0" applyFill="1"/>
    <xf numFmtId="2" fontId="0" fillId="7" borderId="0" xfId="0" applyNumberFormat="1" applyFill="1"/>
    <xf numFmtId="0" fontId="0" fillId="0" borderId="22" xfId="0" applyBorder="1"/>
    <xf numFmtId="0" fontId="6" fillId="0" borderId="7" xfId="0" applyFont="1" applyBorder="1"/>
    <xf numFmtId="0" fontId="0" fillId="0" borderId="0" xfId="0" applyAlignment="1">
      <alignment horizontal="center"/>
    </xf>
    <xf numFmtId="0" fontId="5" fillId="0" borderId="25" xfId="0" applyFont="1" applyBorder="1" applyAlignment="1">
      <alignment horizontal="center" wrapText="1"/>
    </xf>
    <xf numFmtId="0" fontId="5" fillId="0" borderId="26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10" fillId="0" borderId="20" xfId="0" applyFont="1" applyBorder="1" applyAlignment="1">
      <alignment horizontal="center"/>
    </xf>
    <xf numFmtId="0" fontId="5" fillId="0" borderId="20" xfId="0" applyFont="1" applyBorder="1" applyAlignment="1">
      <alignment horizontal="center" wrapText="1"/>
    </xf>
    <xf numFmtId="0" fontId="5" fillId="0" borderId="21" xfId="0" applyFont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26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" fontId="0" fillId="0" borderId="0" xfId="0" applyNumberFormat="1"/>
    <xf numFmtId="164" fontId="0" fillId="0" borderId="0" xfId="0" applyNumberFormat="1"/>
    <xf numFmtId="0" fontId="12" fillId="0" borderId="0" xfId="0" applyFont="1"/>
    <xf numFmtId="164" fontId="12" fillId="0" borderId="0" xfId="0" applyNumberFormat="1" applyFont="1"/>
    <xf numFmtId="0" fontId="0" fillId="9" borderId="0" xfId="0" applyFill="1"/>
    <xf numFmtId="0" fontId="5" fillId="9" borderId="0" xfId="0" applyFont="1" applyFill="1"/>
    <xf numFmtId="0" fontId="5" fillId="6" borderId="0" xfId="0" applyFont="1" applyFill="1"/>
    <xf numFmtId="2" fontId="0" fillId="9" borderId="0" xfId="0" applyNumberFormat="1" applyFill="1"/>
    <xf numFmtId="164" fontId="0" fillId="9" borderId="0" xfId="0" applyNumberFormat="1" applyFill="1"/>
    <xf numFmtId="2" fontId="0" fillId="6" borderId="0" xfId="0" applyNumberFormat="1" applyFill="1"/>
    <xf numFmtId="0" fontId="12" fillId="0" borderId="31" xfId="0" applyFont="1" applyBorder="1"/>
    <xf numFmtId="0" fontId="12" fillId="0" borderId="32" xfId="0" applyFont="1" applyBorder="1"/>
    <xf numFmtId="0" fontId="9" fillId="0" borderId="0" xfId="0" applyFont="1" applyAlignment="1">
      <alignment horizontal="center"/>
    </xf>
    <xf numFmtId="0" fontId="0" fillId="0" borderId="32" xfId="0" applyBorder="1"/>
    <xf numFmtId="0" fontId="0" fillId="0" borderId="30" xfId="0" applyBorder="1"/>
    <xf numFmtId="0" fontId="1" fillId="0" borderId="1" xfId="0" applyFont="1" applyBorder="1"/>
    <xf numFmtId="0" fontId="12" fillId="0" borderId="6" xfId="0" applyFont="1" applyBorder="1"/>
    <xf numFmtId="0" fontId="12" fillId="0" borderId="8" xfId="0" applyFont="1" applyBorder="1"/>
    <xf numFmtId="0" fontId="5" fillId="0" borderId="14" xfId="0" applyFont="1" applyBorder="1" applyAlignment="1">
      <alignment horizontal="center" wrapText="1"/>
    </xf>
    <xf numFmtId="0" fontId="0" fillId="0" borderId="31" xfId="0" applyBorder="1"/>
    <xf numFmtId="0" fontId="0" fillId="5" borderId="15" xfId="0" applyFill="1" applyBorder="1"/>
    <xf numFmtId="0" fontId="0" fillId="5" borderId="35" xfId="0" applyFill="1" applyBorder="1"/>
    <xf numFmtId="0" fontId="0" fillId="0" borderId="35" xfId="0" applyBorder="1"/>
    <xf numFmtId="0" fontId="0" fillId="0" borderId="37" xfId="0" applyBorder="1"/>
    <xf numFmtId="0" fontId="0" fillId="0" borderId="29" xfId="0" applyBorder="1"/>
    <xf numFmtId="0" fontId="0" fillId="0" borderId="38" xfId="0" applyBorder="1"/>
    <xf numFmtId="0" fontId="0" fillId="0" borderId="39" xfId="0" applyBorder="1"/>
    <xf numFmtId="0" fontId="5" fillId="0" borderId="26" xfId="0" applyFont="1" applyBorder="1"/>
    <xf numFmtId="11" fontId="0" fillId="0" borderId="32" xfId="0" applyNumberFormat="1" applyBorder="1"/>
    <xf numFmtId="0" fontId="0" fillId="0" borderId="40" xfId="0" applyBorder="1"/>
    <xf numFmtId="0" fontId="5" fillId="0" borderId="35" xfId="0" applyFont="1" applyBorder="1"/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1" fillId="0" borderId="41" xfId="0" applyFont="1" applyBorder="1"/>
    <xf numFmtId="164" fontId="12" fillId="0" borderId="42" xfId="0" applyNumberFormat="1" applyFont="1" applyBorder="1"/>
    <xf numFmtId="0" fontId="0" fillId="0" borderId="42" xfId="0" applyBorder="1"/>
    <xf numFmtId="2" fontId="0" fillId="0" borderId="42" xfId="0" applyNumberFormat="1" applyBorder="1"/>
    <xf numFmtId="1" fontId="0" fillId="0" borderId="42" xfId="0" applyNumberFormat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9" fillId="0" borderId="26" xfId="0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2" xfId="0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0" fillId="0" borderId="5" xfId="0" applyBorder="1" applyAlignment="1">
      <alignment horizontal="right"/>
    </xf>
    <xf numFmtId="0" fontId="8" fillId="0" borderId="7" xfId="0" applyFont="1" applyBorder="1" applyAlignment="1">
      <alignment horizontal="right"/>
    </xf>
    <xf numFmtId="0" fontId="10" fillId="0" borderId="0" xfId="0" applyFont="1"/>
    <xf numFmtId="0" fontId="11" fillId="0" borderId="12" xfId="0" applyFont="1" applyBorder="1" applyAlignment="1">
      <alignment horizontal="center"/>
    </xf>
    <xf numFmtId="164" fontId="12" fillId="0" borderId="43" xfId="0" applyNumberFormat="1" applyFont="1" applyBorder="1"/>
    <xf numFmtId="2" fontId="0" fillId="0" borderId="43" xfId="0" applyNumberFormat="1" applyBorder="1"/>
    <xf numFmtId="1" fontId="0" fillId="0" borderId="43" xfId="0" applyNumberFormat="1" applyBorder="1"/>
    <xf numFmtId="164" fontId="12" fillId="0" borderId="46" xfId="0" applyNumberFormat="1" applyFont="1" applyBorder="1"/>
    <xf numFmtId="2" fontId="0" fillId="0" borderId="46" xfId="0" applyNumberFormat="1" applyBorder="1"/>
    <xf numFmtId="1" fontId="0" fillId="0" borderId="46" xfId="0" applyNumberFormat="1" applyBorder="1"/>
    <xf numFmtId="2" fontId="0" fillId="0" borderId="48" xfId="0" applyNumberFormat="1" applyBorder="1"/>
    <xf numFmtId="2" fontId="0" fillId="0" borderId="49" xfId="0" applyNumberFormat="1" applyBorder="1"/>
    <xf numFmtId="2" fontId="0" fillId="0" borderId="50" xfId="0" applyNumberFormat="1" applyBorder="1"/>
    <xf numFmtId="0" fontId="1" fillId="0" borderId="2" xfId="0" applyFont="1" applyBorder="1"/>
    <xf numFmtId="0" fontId="0" fillId="0" borderId="16" xfId="0" applyBorder="1"/>
    <xf numFmtId="0" fontId="9" fillId="0" borderId="28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52" xfId="0" applyFont="1" applyBorder="1" applyAlignment="1">
      <alignment horizontal="center"/>
    </xf>
    <xf numFmtId="2" fontId="0" fillId="0" borderId="32" xfId="0" applyNumberFormat="1" applyBorder="1"/>
    <xf numFmtId="2" fontId="0" fillId="0" borderId="13" xfId="0" applyNumberFormat="1" applyBorder="1"/>
    <xf numFmtId="2" fontId="0" fillId="0" borderId="30" xfId="0" applyNumberFormat="1" applyBorder="1"/>
    <xf numFmtId="0" fontId="4" fillId="0" borderId="0" xfId="0" applyFont="1"/>
    <xf numFmtId="0" fontId="9" fillId="0" borderId="13" xfId="0" applyFont="1" applyBorder="1" applyAlignment="1">
      <alignment horizontal="center"/>
    </xf>
    <xf numFmtId="0" fontId="1" fillId="0" borderId="0" xfId="0" applyFont="1"/>
    <xf numFmtId="2" fontId="0" fillId="0" borderId="25" xfId="0" applyNumberFormat="1" applyBorder="1" applyAlignment="1">
      <alignment horizontal="right"/>
    </xf>
    <xf numFmtId="2" fontId="0" fillId="0" borderId="26" xfId="0" applyNumberFormat="1" applyBorder="1" applyAlignment="1">
      <alignment horizontal="right"/>
    </xf>
    <xf numFmtId="2" fontId="0" fillId="0" borderId="27" xfId="0" applyNumberFormat="1" applyBorder="1" applyAlignment="1">
      <alignment horizontal="right"/>
    </xf>
    <xf numFmtId="2" fontId="0" fillId="0" borderId="31" xfId="0" applyNumberFormat="1" applyBorder="1" applyAlignment="1">
      <alignment horizontal="right"/>
    </xf>
    <xf numFmtId="2" fontId="0" fillId="0" borderId="32" xfId="0" applyNumberFormat="1" applyBorder="1" applyAlignment="1">
      <alignment horizontal="right"/>
    </xf>
    <xf numFmtId="2" fontId="0" fillId="0" borderId="29" xfId="0" applyNumberFormat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30" xfId="0" applyNumberFormat="1" applyBorder="1" applyAlignment="1">
      <alignment horizontal="right"/>
    </xf>
    <xf numFmtId="164" fontId="12" fillId="0" borderId="53" xfId="0" applyNumberFormat="1" applyFont="1" applyBorder="1"/>
    <xf numFmtId="164" fontId="12" fillId="0" borderId="54" xfId="0" applyNumberFormat="1" applyFont="1" applyBorder="1"/>
    <xf numFmtId="164" fontId="12" fillId="0" borderId="55" xfId="0" applyNumberFormat="1" applyFont="1" applyBorder="1"/>
    <xf numFmtId="164" fontId="12" fillId="0" borderId="25" xfId="0" applyNumberFormat="1" applyFont="1" applyBorder="1"/>
    <xf numFmtId="164" fontId="12" fillId="0" borderId="26" xfId="0" applyNumberFormat="1" applyFont="1" applyBorder="1"/>
    <xf numFmtId="164" fontId="12" fillId="0" borderId="27" xfId="0" applyNumberFormat="1" applyFont="1" applyBorder="1"/>
    <xf numFmtId="164" fontId="12" fillId="0" borderId="31" xfId="0" applyNumberFormat="1" applyFont="1" applyBorder="1"/>
    <xf numFmtId="164" fontId="12" fillId="0" borderId="32" xfId="0" applyNumberFormat="1" applyFont="1" applyBorder="1"/>
    <xf numFmtId="164" fontId="12" fillId="0" borderId="29" xfId="0" applyNumberFormat="1" applyFont="1" applyBorder="1"/>
    <xf numFmtId="164" fontId="12" fillId="0" borderId="13" xfId="0" applyNumberFormat="1" applyFont="1" applyBorder="1"/>
    <xf numFmtId="164" fontId="12" fillId="0" borderId="30" xfId="0" applyNumberFormat="1" applyFont="1" applyBorder="1"/>
    <xf numFmtId="0" fontId="7" fillId="0" borderId="0" xfId="0" applyFont="1" applyAlignment="1">
      <alignment horizontal="center" vertical="center"/>
    </xf>
    <xf numFmtId="0" fontId="0" fillId="0" borderId="56" xfId="0" applyBorder="1"/>
    <xf numFmtId="0" fontId="0" fillId="0" borderId="28" xfId="0" applyBorder="1"/>
    <xf numFmtId="0" fontId="0" fillId="0" borderId="51" xfId="0" applyBorder="1"/>
    <xf numFmtId="0" fontId="0" fillId="0" borderId="52" xfId="0" applyBorder="1"/>
    <xf numFmtId="0" fontId="0" fillId="0" borderId="23" xfId="0" applyBorder="1"/>
    <xf numFmtId="0" fontId="0" fillId="0" borderId="57" xfId="0" applyBorder="1"/>
    <xf numFmtId="0" fontId="2" fillId="0" borderId="7" xfId="0" applyFont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2" xfId="0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0" xfId="0" applyFill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3" fillId="0" borderId="7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2" xfId="0" applyNumberFormat="1" applyBorder="1" applyAlignment="1">
      <alignment horizontal="right"/>
    </xf>
    <xf numFmtId="49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2" fontId="0" fillId="0" borderId="4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49" fontId="0" fillId="0" borderId="4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6" xfId="0" applyNumberFormat="1" applyBorder="1" applyAlignment="1">
      <alignment horizontal="right"/>
    </xf>
    <xf numFmtId="49" fontId="0" fillId="0" borderId="7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2" fontId="0" fillId="0" borderId="6" xfId="0" applyNumberFormat="1" applyBorder="1" applyAlignment="1">
      <alignment horizontal="right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0" fontId="0" fillId="0" borderId="14" xfId="0" applyBorder="1" applyAlignment="1">
      <alignment horizontal="center" vertical="center" wrapText="1"/>
    </xf>
    <xf numFmtId="0" fontId="5" fillId="0" borderId="2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35" xfId="0" applyBorder="1" applyAlignment="1">
      <alignment horizontal="center" vertical="center" wrapText="1"/>
    </xf>
    <xf numFmtId="0" fontId="5" fillId="0" borderId="24" xfId="0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7" fillId="0" borderId="1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5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7" fillId="0" borderId="24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8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</cellXfs>
  <cellStyles count="2">
    <cellStyle name="Normalny" xfId="0" builtinId="0"/>
    <cellStyle name="Normalny 2" xfId="1" xr:uid="{34F7FBB8-A224-4308-AC39-15A2222582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Bługaria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Wizualizacje!$B$1:$B$2</c:f>
              <c:strCache>
                <c:ptCount val="2"/>
                <c:pt idx="0">
                  <c:v>Bułgaria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Wizualizacje!$A$3:$A$10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Wizualizacje!$B$3:$B$10</c:f>
              <c:numCache>
                <c:formatCode>General</c:formatCode>
                <c:ptCount val="8"/>
                <c:pt idx="0">
                  <c:v>-1.8690014068229666</c:v>
                </c:pt>
                <c:pt idx="1">
                  <c:v>-1.0518399868020438</c:v>
                </c:pt>
                <c:pt idx="2">
                  <c:v>-0.46641569364068702</c:v>
                </c:pt>
                <c:pt idx="3">
                  <c:v>0.83299239230936528</c:v>
                </c:pt>
                <c:pt idx="4">
                  <c:v>-1.3187674476553592</c:v>
                </c:pt>
                <c:pt idx="5">
                  <c:v>-0.48410834415732729</c:v>
                </c:pt>
                <c:pt idx="6">
                  <c:v>-1.7037007925068495</c:v>
                </c:pt>
                <c:pt idx="7">
                  <c:v>-8.2456433310738694E-2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23-4A94-BF83-AAE46014AAAB}"/>
            </c:ext>
          </c:extLst>
        </c:ser>
        <c:ser>
          <c:idx val="1"/>
          <c:order val="1"/>
          <c:tx>
            <c:strRef>
              <c:f>Wizualizacje!$C$1:$C$2</c:f>
              <c:strCache>
                <c:ptCount val="2"/>
                <c:pt idx="0">
                  <c:v>Bułgaria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Wizualizacje!$A$3:$A$10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Wizualizacje!$C$3:$C$10</c:f>
              <c:numCache>
                <c:formatCode>General</c:formatCode>
                <c:ptCount val="8"/>
                <c:pt idx="0">
                  <c:v>-1.9385368186601104</c:v>
                </c:pt>
                <c:pt idx="1">
                  <c:v>-1.2246938647959225</c:v>
                </c:pt>
                <c:pt idx="2">
                  <c:v>-1.0616558290047011</c:v>
                </c:pt>
                <c:pt idx="3">
                  <c:v>0.92644129579122414</c:v>
                </c:pt>
                <c:pt idx="4">
                  <c:v>-1.3171703474499457</c:v>
                </c:pt>
                <c:pt idx="5">
                  <c:v>0.46532716555799314</c:v>
                </c:pt>
                <c:pt idx="6">
                  <c:v>-1.3954284964085519</c:v>
                </c:pt>
                <c:pt idx="7">
                  <c:v>0.26232847057605951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23-4A94-BF83-AAE46014AAAB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Wizualizacje!$A$3:$A$10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Wizualizacje!$D$3:$D$10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23-4A94-BF83-AAE46014A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4280223"/>
        <c:axId val="1124279263"/>
      </c:barChart>
      <c:catAx>
        <c:axId val="112428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4279263"/>
        <c:crosses val="autoZero"/>
        <c:auto val="1"/>
        <c:lblAlgn val="ctr"/>
        <c:lblOffset val="100"/>
        <c:noMultiLvlLbl val="0"/>
      </c:catAx>
      <c:valAx>
        <c:axId val="1124279263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428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Chorwacja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Wizualizacje!$F$1:$F$2</c:f>
              <c:strCache>
                <c:ptCount val="2"/>
                <c:pt idx="0">
                  <c:v>Chorwacja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Wizualizacje!$E$3:$E$10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Wizualizacje!$F$3:$F$10</c:f>
              <c:numCache>
                <c:formatCode>General</c:formatCode>
                <c:ptCount val="8"/>
                <c:pt idx="0">
                  <c:v>-0.74264495256734164</c:v>
                </c:pt>
                <c:pt idx="1">
                  <c:v>0.40092555550750142</c:v>
                </c:pt>
                <c:pt idx="2">
                  <c:v>-0.73562838462199187</c:v>
                </c:pt>
                <c:pt idx="3">
                  <c:v>0.44942845352505284</c:v>
                </c:pt>
                <c:pt idx="4">
                  <c:v>-0.67124636380149705</c:v>
                </c:pt>
                <c:pt idx="5">
                  <c:v>-2.1910316228847933</c:v>
                </c:pt>
                <c:pt idx="6">
                  <c:v>0.26407362283856156</c:v>
                </c:pt>
                <c:pt idx="7">
                  <c:v>0.88935153070868389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4-4F33-96D4-6F33904B71EF}"/>
            </c:ext>
          </c:extLst>
        </c:ser>
        <c:ser>
          <c:idx val="1"/>
          <c:order val="1"/>
          <c:tx>
            <c:strRef>
              <c:f>Wizualizacje!$G$1:$G$2</c:f>
              <c:strCache>
                <c:ptCount val="2"/>
                <c:pt idx="0">
                  <c:v>Chorwacja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Wizualizacje!$E$3:$E$10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Wizualizacje!$G$3:$G$10</c:f>
              <c:numCache>
                <c:formatCode>General</c:formatCode>
                <c:ptCount val="8"/>
                <c:pt idx="0">
                  <c:v>-0.23301755876133523</c:v>
                </c:pt>
                <c:pt idx="1">
                  <c:v>0.31492127951894544</c:v>
                </c:pt>
                <c:pt idx="2">
                  <c:v>0.18291405934894492</c:v>
                </c:pt>
                <c:pt idx="3">
                  <c:v>-0.19873188679433304</c:v>
                </c:pt>
                <c:pt idx="4">
                  <c:v>-0.8195579850515835</c:v>
                </c:pt>
                <c:pt idx="5">
                  <c:v>-0.76313655151510851</c:v>
                </c:pt>
                <c:pt idx="6">
                  <c:v>0.1248306642154615</c:v>
                </c:pt>
                <c:pt idx="7">
                  <c:v>0.50687196009611524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4-4F33-96D4-6F33904B71EF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Wizualizacje!$E$3:$E$10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Wizualizacje!$H$3:$H$10</c:f>
              <c:numCache>
                <c:formatCode>General</c:formatCode>
                <c:ptCount val="8"/>
                <c:pt idx="0" formatCode="0.00E+0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4-4F33-96D4-6F33904B7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2054559"/>
        <c:axId val="1612053119"/>
      </c:barChart>
      <c:catAx>
        <c:axId val="161205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053119"/>
        <c:crosses val="autoZero"/>
        <c:auto val="1"/>
        <c:lblAlgn val="ctr"/>
        <c:lblOffset val="100"/>
        <c:noMultiLvlLbl val="0"/>
      </c:catAx>
      <c:valAx>
        <c:axId val="1612053119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05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Czechy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Wizualizacje!$J$1:$J$2</c:f>
              <c:strCache>
                <c:ptCount val="2"/>
                <c:pt idx="0">
                  <c:v>Czechy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Wizualizacje!$I$3:$I$10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Wizualizacje!$J$3:$J$10</c:f>
              <c:numCache>
                <c:formatCode>General</c:formatCode>
                <c:ptCount val="8"/>
                <c:pt idx="0">
                  <c:v>1.6780588088080792</c:v>
                </c:pt>
                <c:pt idx="1">
                  <c:v>1.0235393593544515</c:v>
                </c:pt>
                <c:pt idx="2">
                  <c:v>1.5216164859135641</c:v>
                </c:pt>
                <c:pt idx="3">
                  <c:v>-1.2553001632941125</c:v>
                </c:pt>
                <c:pt idx="4">
                  <c:v>1.4781297054168359</c:v>
                </c:pt>
                <c:pt idx="5">
                  <c:v>1.5601111513246682</c:v>
                </c:pt>
                <c:pt idx="6">
                  <c:v>1.4509851749516665</c:v>
                </c:pt>
                <c:pt idx="7">
                  <c:v>-1.2486259901340457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8-4A9A-9E05-DE36594AA72F}"/>
            </c:ext>
          </c:extLst>
        </c:ser>
        <c:ser>
          <c:idx val="1"/>
          <c:order val="1"/>
          <c:tx>
            <c:strRef>
              <c:f>Wizualizacje!$K$1:$K$2</c:f>
              <c:strCache>
                <c:ptCount val="2"/>
                <c:pt idx="0">
                  <c:v>Czechy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Wizualizacje!$I$3:$I$10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Wizualizacje!$K$3:$K$10</c:f>
              <c:numCache>
                <c:formatCode>General</c:formatCode>
                <c:ptCount val="8"/>
                <c:pt idx="0">
                  <c:v>1.1929320314119782</c:v>
                </c:pt>
                <c:pt idx="1">
                  <c:v>1.0297425965222839</c:v>
                </c:pt>
                <c:pt idx="2">
                  <c:v>1.0748558126690586</c:v>
                </c:pt>
                <c:pt idx="3">
                  <c:v>-0.77739238069547634</c:v>
                </c:pt>
                <c:pt idx="4">
                  <c:v>1.8482980746681044</c:v>
                </c:pt>
                <c:pt idx="5">
                  <c:v>1.6255428983492559</c:v>
                </c:pt>
                <c:pt idx="6">
                  <c:v>1.5470085886701834</c:v>
                </c:pt>
                <c:pt idx="7">
                  <c:v>-1.4005672581603195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E8-4A9A-9E05-DE36594AA72F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Wizualizacje!$I$3:$I$10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Wizualizacje!$L$3:$L$10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E8-4A9A-9E05-DE36594AA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095263"/>
        <c:axId val="1122095743"/>
      </c:barChart>
      <c:catAx>
        <c:axId val="112209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2095743"/>
        <c:crosses val="autoZero"/>
        <c:auto val="1"/>
        <c:lblAlgn val="ctr"/>
        <c:lblOffset val="100"/>
        <c:noMultiLvlLbl val="0"/>
      </c:catAx>
      <c:valAx>
        <c:axId val="1122095743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209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Estonia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Wizualizacje!$N$1:$N$2</c:f>
              <c:strCache>
                <c:ptCount val="2"/>
                <c:pt idx="0">
                  <c:v>Estonia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Wizualizacje!$M$3:$M$10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Wizualizacje!$N$3:$N$10</c:f>
              <c:numCache>
                <c:formatCode>General</c:formatCode>
                <c:ptCount val="8"/>
                <c:pt idx="0">
                  <c:v>0.6461609904864285</c:v>
                </c:pt>
                <c:pt idx="1">
                  <c:v>0.66034797377706334</c:v>
                </c:pt>
                <c:pt idx="2">
                  <c:v>0.54830906467346208</c:v>
                </c:pt>
                <c:pt idx="3">
                  <c:v>1.9371916100222885E-3</c:v>
                </c:pt>
                <c:pt idx="4">
                  <c:v>1.7194113260163737</c:v>
                </c:pt>
                <c:pt idx="5">
                  <c:v>1.028614082499349</c:v>
                </c:pt>
                <c:pt idx="6">
                  <c:v>0.34736566158334053</c:v>
                </c:pt>
                <c:pt idx="7">
                  <c:v>-2.2204339541534686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2-4E46-8077-0D2F819E34D7}"/>
            </c:ext>
          </c:extLst>
        </c:ser>
        <c:ser>
          <c:idx val="1"/>
          <c:order val="1"/>
          <c:tx>
            <c:strRef>
              <c:f>Wizualizacje!$O$1:$O$2</c:f>
              <c:strCache>
                <c:ptCount val="2"/>
                <c:pt idx="0">
                  <c:v>Estonia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Wizualizacje!$M$3:$M$10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Wizualizacje!$O$3:$O$10</c:f>
              <c:numCache>
                <c:formatCode>General</c:formatCode>
                <c:ptCount val="8"/>
                <c:pt idx="0">
                  <c:v>-6.2502854996164689E-2</c:v>
                </c:pt>
                <c:pt idx="1">
                  <c:v>0.58985255528945779</c:v>
                </c:pt>
                <c:pt idx="2">
                  <c:v>1.0955986441416192</c:v>
                </c:pt>
                <c:pt idx="3">
                  <c:v>0.54066763319046196</c:v>
                </c:pt>
                <c:pt idx="4">
                  <c:v>0.61153158272180907</c:v>
                </c:pt>
                <c:pt idx="5">
                  <c:v>-0.967880504360626</c:v>
                </c:pt>
                <c:pt idx="6">
                  <c:v>-0.44730988010540385</c:v>
                </c:pt>
                <c:pt idx="7">
                  <c:v>-1.5962020497763643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2-4E46-8077-0D2F819E34D7}"/>
            </c:ext>
          </c:extLst>
        </c:ser>
        <c:ser>
          <c:idx val="2"/>
          <c:order val="2"/>
          <c:tx>
            <c:strRef>
              <c:f>Wizualizacje!$P$1:$P$2</c:f>
              <c:strCache>
                <c:ptCount val="2"/>
                <c:pt idx="0">
                  <c:v>Estonia</c:v>
                </c:pt>
                <c:pt idx="1">
                  <c:v>średnia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Wizualizacje!$M$3:$M$10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Wizualizacje!$P$3:$P$10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2-4E46-8077-0D2F819E3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0341663"/>
        <c:axId val="400342143"/>
      </c:barChart>
      <c:catAx>
        <c:axId val="40034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0342143"/>
        <c:crosses val="autoZero"/>
        <c:auto val="1"/>
        <c:lblAlgn val="ctr"/>
        <c:lblOffset val="100"/>
        <c:noMultiLvlLbl val="0"/>
      </c:catAx>
      <c:valAx>
        <c:axId val="400342143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00341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Litwa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Wizualizacje!$B$11:$B$12</c:f>
              <c:strCache>
                <c:ptCount val="2"/>
                <c:pt idx="0">
                  <c:v>Litwa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Wizualizacje!$A$13:$A$20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Wizualizacje!$B$13:$B$20</c:f>
              <c:numCache>
                <c:formatCode>General</c:formatCode>
                <c:ptCount val="8"/>
                <c:pt idx="0">
                  <c:v>0.43457879711285113</c:v>
                </c:pt>
                <c:pt idx="1">
                  <c:v>-1.1037244704559606</c:v>
                </c:pt>
                <c:pt idx="2">
                  <c:v>-1.1083844182884139</c:v>
                </c:pt>
                <c:pt idx="3">
                  <c:v>-0.95697265535075837</c:v>
                </c:pt>
                <c:pt idx="4">
                  <c:v>-0.67617047850761014</c:v>
                </c:pt>
                <c:pt idx="5">
                  <c:v>-7.5264445060928192E-2</c:v>
                </c:pt>
                <c:pt idx="6">
                  <c:v>-0.2565016193163091</c:v>
                </c:pt>
                <c:pt idx="7">
                  <c:v>1.0189259259112737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DA-40BC-8DE2-30AAD4B34654}"/>
            </c:ext>
          </c:extLst>
        </c:ser>
        <c:ser>
          <c:idx val="1"/>
          <c:order val="1"/>
          <c:tx>
            <c:strRef>
              <c:f>Wizualizacje!$C$11:$C$12</c:f>
              <c:strCache>
                <c:ptCount val="2"/>
                <c:pt idx="0">
                  <c:v>Litwa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Wizualizacje!$A$13:$A$20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Wizualizacje!$C$13:$C$20</c:f>
              <c:numCache>
                <c:formatCode>General</c:formatCode>
                <c:ptCount val="8"/>
                <c:pt idx="0">
                  <c:v>0.76204632770663339</c:v>
                </c:pt>
                <c:pt idx="1">
                  <c:v>-0.23494127202207934</c:v>
                </c:pt>
                <c:pt idx="2">
                  <c:v>-0.99942733458701905</c:v>
                </c:pt>
                <c:pt idx="3">
                  <c:v>-1.3560528745966203</c:v>
                </c:pt>
                <c:pt idx="4">
                  <c:v>-0.47813052471986023</c:v>
                </c:pt>
                <c:pt idx="5">
                  <c:v>-1.3091204257698208</c:v>
                </c:pt>
                <c:pt idx="6">
                  <c:v>-0.46365675280028568</c:v>
                </c:pt>
                <c:pt idx="7">
                  <c:v>0.89814154332820439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DA-40BC-8DE2-30AAD4B34654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Wizualizacje!$A$13:$A$20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Wizualizacje!$D$13:$D$20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DA-40BC-8DE2-30AAD4B34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092591"/>
        <c:axId val="1122094511"/>
      </c:barChart>
      <c:catAx>
        <c:axId val="112209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2094511"/>
        <c:crosses val="autoZero"/>
        <c:auto val="1"/>
        <c:lblAlgn val="ctr"/>
        <c:lblOffset val="100"/>
        <c:noMultiLvlLbl val="0"/>
      </c:catAx>
      <c:valAx>
        <c:axId val="1122094511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209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Łotwa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Wizualizacje!$F$11:$F$12</c:f>
              <c:strCache>
                <c:ptCount val="2"/>
                <c:pt idx="0">
                  <c:v>Łotwa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Wizualizacje!$E$13:$E$20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Wizualizacje!$F$13:$F$20</c:f>
              <c:numCache>
                <c:formatCode>General</c:formatCode>
                <c:ptCount val="8"/>
                <c:pt idx="0">
                  <c:v>-0.65591299441937756</c:v>
                </c:pt>
                <c:pt idx="1">
                  <c:v>-0.99995550314813442</c:v>
                </c:pt>
                <c:pt idx="2">
                  <c:v>-0.28003767680747577</c:v>
                </c:pt>
                <c:pt idx="3">
                  <c:v>-0.57340871656644632</c:v>
                </c:pt>
                <c:pt idx="4">
                  <c:v>5.7522612703229524E-2</c:v>
                </c:pt>
                <c:pt idx="5">
                  <c:v>-0.40233956433804774</c:v>
                </c:pt>
                <c:pt idx="6">
                  <c:v>-0.31897064837489375</c:v>
                </c:pt>
                <c:pt idx="7">
                  <c:v>0.56541554270220973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8-42BF-ADB4-F56904E6B0F5}"/>
            </c:ext>
          </c:extLst>
        </c:ser>
        <c:ser>
          <c:idx val="1"/>
          <c:order val="1"/>
          <c:tx>
            <c:strRef>
              <c:f>Wizualizacje!$G$11:$G$12</c:f>
              <c:strCache>
                <c:ptCount val="2"/>
                <c:pt idx="0">
                  <c:v>Łotwa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Wizualizacje!$E$13:$E$20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Wizualizacje!$G$13:$G$20</c:f>
              <c:numCache>
                <c:formatCode>General</c:formatCode>
                <c:ptCount val="8"/>
                <c:pt idx="0">
                  <c:v>-1.1046943846480111</c:v>
                </c:pt>
                <c:pt idx="1">
                  <c:v>-1.3346663751041288</c:v>
                </c:pt>
                <c:pt idx="2">
                  <c:v>-0.52234221071812104</c:v>
                </c:pt>
                <c:pt idx="3">
                  <c:v>5.8450554939508841E-2</c:v>
                </c:pt>
                <c:pt idx="4">
                  <c:v>-0.14759968546255403</c:v>
                </c:pt>
                <c:pt idx="5">
                  <c:v>-1.0361284886424647</c:v>
                </c:pt>
                <c:pt idx="6">
                  <c:v>-0.67616609783374981</c:v>
                </c:pt>
                <c:pt idx="7">
                  <c:v>-0.76475418540817452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8-42BF-ADB4-F56904E6B0F5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Wizualizacje!$E$13:$E$20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Wizualizacje!$H$13:$H$20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8-42BF-ADB4-F56904E6B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867247"/>
        <c:axId val="1127868207"/>
      </c:barChart>
      <c:catAx>
        <c:axId val="1127867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868207"/>
        <c:crosses val="autoZero"/>
        <c:auto val="1"/>
        <c:lblAlgn val="ctr"/>
        <c:lblOffset val="100"/>
        <c:noMultiLvlLbl val="0"/>
      </c:catAx>
      <c:valAx>
        <c:axId val="1127868207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86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Węgry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Wizualizacje!$J$11:$J$12</c:f>
              <c:strCache>
                <c:ptCount val="2"/>
                <c:pt idx="0">
                  <c:v>Węgry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Wizualizacje!$I$13:$I$20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Wizualizacje!$J$13:$J$20</c:f>
              <c:numCache>
                <c:formatCode>General</c:formatCode>
                <c:ptCount val="8"/>
                <c:pt idx="0">
                  <c:v>-7.2261997930523703E-3</c:v>
                </c:pt>
                <c:pt idx="1">
                  <c:v>-0.53299515026291999</c:v>
                </c:pt>
                <c:pt idx="2">
                  <c:v>0.3412223793032278</c:v>
                </c:pt>
                <c:pt idx="3">
                  <c:v>0.76906506917864637</c:v>
                </c:pt>
                <c:pt idx="4">
                  <c:v>1.2762410024662019</c:v>
                </c:pt>
                <c:pt idx="5">
                  <c:v>0.9468453026800695</c:v>
                </c:pt>
                <c:pt idx="6">
                  <c:v>-0.38143967743347834</c:v>
                </c:pt>
                <c:pt idx="7">
                  <c:v>0.50062834510091447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2-41EB-9C4F-788AB32E516E}"/>
            </c:ext>
          </c:extLst>
        </c:ser>
        <c:ser>
          <c:idx val="1"/>
          <c:order val="1"/>
          <c:tx>
            <c:strRef>
              <c:f>Wizualizacje!$K$11:$K$12</c:f>
              <c:strCache>
                <c:ptCount val="2"/>
                <c:pt idx="0">
                  <c:v>Węgry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Wizualizacje!$I$13:$I$20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Wizualizacje!$K$13:$K$20</c:f>
              <c:numCache>
                <c:formatCode>General</c:formatCode>
                <c:ptCount val="8"/>
                <c:pt idx="0">
                  <c:v>-0.4502292353418621</c:v>
                </c:pt>
                <c:pt idx="1">
                  <c:v>-0.72981756840899692</c:v>
                </c:pt>
                <c:pt idx="2">
                  <c:v>0.16217122787638413</c:v>
                </c:pt>
                <c:pt idx="3">
                  <c:v>0.73355446449084361</c:v>
                </c:pt>
                <c:pt idx="4">
                  <c:v>1.8482980746681044</c:v>
                </c:pt>
                <c:pt idx="5">
                  <c:v>0.60182313412167121</c:v>
                </c:pt>
                <c:pt idx="6">
                  <c:v>0.28829939116428016</c:v>
                </c:pt>
                <c:pt idx="7">
                  <c:v>0.55578065800012666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22-41EB-9C4F-788AB32E516E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Wizualizacje!$I$13:$I$20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Wizualizacje!$L$13:$L$20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22-41EB-9C4F-788AB32E5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498575"/>
        <c:axId val="1973505295"/>
      </c:barChart>
      <c:catAx>
        <c:axId val="1973498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3505295"/>
        <c:crosses val="autoZero"/>
        <c:auto val="1"/>
        <c:lblAlgn val="ctr"/>
        <c:lblOffset val="100"/>
        <c:noMultiLvlLbl val="0"/>
      </c:catAx>
      <c:valAx>
        <c:axId val="1973505295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3498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Polska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Wizualizacje!$N$11:$N$12</c:f>
              <c:strCache>
                <c:ptCount val="2"/>
                <c:pt idx="0">
                  <c:v>Polska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Wizualizacje!$M$13:$M$20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Wizualizacje!$N$13:$N$20</c:f>
              <c:numCache>
                <c:formatCode>General</c:formatCode>
                <c:ptCount val="8"/>
                <c:pt idx="0">
                  <c:v>5.2330681368880127E-3</c:v>
                </c:pt>
                <c:pt idx="1">
                  <c:v>0.40092555550750142</c:v>
                </c:pt>
                <c:pt idx="2">
                  <c:v>-0.36287235095556969</c:v>
                </c:pt>
                <c:pt idx="3">
                  <c:v>-0.65864514740740476</c:v>
                </c:pt>
                <c:pt idx="4">
                  <c:v>-0.33886862113886834</c:v>
                </c:pt>
                <c:pt idx="5">
                  <c:v>0.49711701367403066</c:v>
                </c:pt>
                <c:pt idx="6">
                  <c:v>0.46189221485741228</c:v>
                </c:pt>
                <c:pt idx="7">
                  <c:v>-0.6007540141210973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5-4623-ACC3-3C54885471C7}"/>
            </c:ext>
          </c:extLst>
        </c:ser>
        <c:ser>
          <c:idx val="1"/>
          <c:order val="1"/>
          <c:tx>
            <c:strRef>
              <c:f>Wizualizacje!$O$11:$O$12</c:f>
              <c:strCache>
                <c:ptCount val="2"/>
                <c:pt idx="0">
                  <c:v>Polska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Wizualizacje!$M$13:$M$20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Wizualizacje!$O$13:$O$20</c:f>
              <c:numCache>
                <c:formatCode>General</c:formatCode>
                <c:ptCount val="8"/>
                <c:pt idx="0">
                  <c:v>-0.37360067191428947</c:v>
                </c:pt>
                <c:pt idx="1">
                  <c:v>0.20494876921074673</c:v>
                </c:pt>
                <c:pt idx="2">
                  <c:v>0.53554219438247841</c:v>
                </c:pt>
                <c:pt idx="3">
                  <c:v>-1.2274616537296994</c:v>
                </c:pt>
                <c:pt idx="4">
                  <c:v>1.2217423628891303E-2</c:v>
                </c:pt>
                <c:pt idx="5">
                  <c:v>1.4890469297855777</c:v>
                </c:pt>
                <c:pt idx="6">
                  <c:v>0.8440930627902633</c:v>
                </c:pt>
                <c:pt idx="7">
                  <c:v>-1.1560237686402637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5-4623-ACC3-3C54885471C7}"/>
            </c:ext>
          </c:extLst>
        </c:ser>
        <c:ser>
          <c:idx val="2"/>
          <c:order val="2"/>
          <c:tx>
            <c:strRef>
              <c:f>Wizualizacje!$P$11:$P$12</c:f>
              <c:strCache>
                <c:ptCount val="2"/>
                <c:pt idx="0">
                  <c:v>Polska</c:v>
                </c:pt>
                <c:pt idx="1">
                  <c:v>średnia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Wizualizacje!$M$13:$M$20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Wizualizacje!$P$13:$P$20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5-4623-ACC3-3C5488547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864367"/>
        <c:axId val="1127869647"/>
      </c:barChart>
      <c:catAx>
        <c:axId val="112786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869647"/>
        <c:crosses val="autoZero"/>
        <c:auto val="1"/>
        <c:lblAlgn val="ctr"/>
        <c:lblOffset val="100"/>
        <c:noMultiLvlLbl val="0"/>
      </c:catAx>
      <c:valAx>
        <c:axId val="1127869647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786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Rumunia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Wizualizacje!$B$21:$B$22</c:f>
              <c:strCache>
                <c:ptCount val="2"/>
                <c:pt idx="0">
                  <c:v>Rumunia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Wizualizacje!$A$23:$A$30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Wizualizacje!$B$23:$B$30</c:f>
              <c:numCache>
                <c:formatCode>General</c:formatCode>
                <c:ptCount val="8"/>
                <c:pt idx="0">
                  <c:v>-1.2388264443922912</c:v>
                </c:pt>
                <c:pt idx="1">
                  <c:v>-0.94807101949421757</c:v>
                </c:pt>
                <c:pt idx="2">
                  <c:v>-1.4190144463437657</c:v>
                </c:pt>
                <c:pt idx="3">
                  <c:v>2.367248147446614</c:v>
                </c:pt>
                <c:pt idx="4">
                  <c:v>-0.70571516674428825</c:v>
                </c:pt>
                <c:pt idx="5">
                  <c:v>0.21092628430655089</c:v>
                </c:pt>
                <c:pt idx="6">
                  <c:v>-1.8286388506240185</c:v>
                </c:pt>
                <c:pt idx="7">
                  <c:v>1.2456811175158053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3-4087-9BA1-03522775A085}"/>
            </c:ext>
          </c:extLst>
        </c:ser>
        <c:ser>
          <c:idx val="1"/>
          <c:order val="1"/>
          <c:tx>
            <c:strRef>
              <c:f>Wizualizacje!$C$21:$C$22</c:f>
              <c:strCache>
                <c:ptCount val="2"/>
                <c:pt idx="0">
                  <c:v>Rumunia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Wizualizacje!$A$23:$A$30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Wizualizacje!$C$23:$C$30</c:f>
              <c:numCache>
                <c:formatCode>General</c:formatCode>
                <c:ptCount val="8"/>
                <c:pt idx="0">
                  <c:v>-0.41679075744311761</c:v>
                </c:pt>
                <c:pt idx="1">
                  <c:v>-0.89477633387130284</c:v>
                </c:pt>
                <c:pt idx="2">
                  <c:v>-1.6217122787638421</c:v>
                </c:pt>
                <c:pt idx="3">
                  <c:v>2.0837622835935119</c:v>
                </c:pt>
                <c:pt idx="4">
                  <c:v>-7.8587751991247831E-2</c:v>
                </c:pt>
                <c:pt idx="5">
                  <c:v>-0.42189663010591361</c:v>
                </c:pt>
                <c:pt idx="6">
                  <c:v>-1.7223659503061892</c:v>
                </c:pt>
                <c:pt idx="7">
                  <c:v>1.5828633139843606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D3-4087-9BA1-03522775A085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Wizualizacje!$A$23:$A$30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Wizualizacje!$D$23:$D$30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D3-4087-9BA1-03522775A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504335"/>
        <c:axId val="1973498095"/>
      </c:barChart>
      <c:catAx>
        <c:axId val="197350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3498095"/>
        <c:crosses val="autoZero"/>
        <c:auto val="1"/>
        <c:lblAlgn val="ctr"/>
        <c:lblOffset val="100"/>
        <c:noMultiLvlLbl val="0"/>
      </c:catAx>
      <c:valAx>
        <c:axId val="1973498095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350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Słowacja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Wizualizacje!$F$21:$F$22</c:f>
              <c:strCache>
                <c:ptCount val="2"/>
                <c:pt idx="0">
                  <c:v>Słowacja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Wizualizacje!$E$23:$E$30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Wizualizacje!$F$23:$F$30</c:f>
              <c:numCache>
                <c:formatCode>General</c:formatCode>
                <c:ptCount val="8"/>
                <c:pt idx="0">
                  <c:v>0.73778651123219807</c:v>
                </c:pt>
                <c:pt idx="1">
                  <c:v>-1.4150313723796163E-2</c:v>
                </c:pt>
                <c:pt idx="2">
                  <c:v>-5.2242322900218095E-2</c:v>
                </c:pt>
                <c:pt idx="3">
                  <c:v>-0.78649979366884204</c:v>
                </c:pt>
                <c:pt idx="4">
                  <c:v>-0.97161736087439132</c:v>
                </c:pt>
                <c:pt idx="5">
                  <c:v>-3.4380055151288426E-2</c:v>
                </c:pt>
                <c:pt idx="6">
                  <c:v>1.0032904666984777</c:v>
                </c:pt>
                <c:pt idx="7">
                  <c:v>0.2738731534963828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A-4D6F-9F70-7FAF601A4D6A}"/>
            </c:ext>
          </c:extLst>
        </c:ser>
        <c:ser>
          <c:idx val="1"/>
          <c:order val="1"/>
          <c:tx>
            <c:strRef>
              <c:f>Wizualizacje!$G$21:$G$22</c:f>
              <c:strCache>
                <c:ptCount val="2"/>
                <c:pt idx="0">
                  <c:v>Słowacja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Wizualizacje!$E$23:$E$30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Wizualizacje!$G$23:$G$30</c:f>
              <c:numCache>
                <c:formatCode>General</c:formatCode>
                <c:ptCount val="8"/>
                <c:pt idx="0">
                  <c:v>1.3121969613231379</c:v>
                </c:pt>
                <c:pt idx="1">
                  <c:v>9.4976258902540217E-2</c:v>
                </c:pt>
                <c:pt idx="2">
                  <c:v>-0.56382787366324272</c:v>
                </c:pt>
                <c:pt idx="3">
                  <c:v>-0.97027921199585754</c:v>
                </c:pt>
                <c:pt idx="4">
                  <c:v>-0.87404109042366673</c:v>
                </c:pt>
                <c:pt idx="5">
                  <c:v>0.8748150712490268</c:v>
                </c:pt>
                <c:pt idx="6">
                  <c:v>0.63158371775679922</c:v>
                </c:pt>
                <c:pt idx="7">
                  <c:v>0.50687196009611524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A-4D6F-9F70-7FAF601A4D6A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Wizualizacje!$E$23:$E$30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Wizualizacje!$H$23:$H$30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4A-4D6F-9F70-7FAF601A4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2096223"/>
        <c:axId val="1122096703"/>
      </c:barChart>
      <c:catAx>
        <c:axId val="1122096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2096703"/>
        <c:crosses val="autoZero"/>
        <c:auto val="1"/>
        <c:lblAlgn val="ctr"/>
        <c:lblOffset val="100"/>
        <c:noMultiLvlLbl val="0"/>
      </c:catAx>
      <c:valAx>
        <c:axId val="1122096703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22096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Słowenia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Wizualizacje!$J$21:$J$22</c:f>
              <c:strCache>
                <c:ptCount val="2"/>
                <c:pt idx="0">
                  <c:v>Słowenia</c:v>
                </c:pt>
                <c:pt idx="1">
                  <c:v>2015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Wizualizacje!$I$23:$I$30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Wizualizacje!$J$23:$J$30</c:f>
              <c:numCache>
                <c:formatCode>General</c:formatCode>
                <c:ptCount val="8"/>
                <c:pt idx="0">
                  <c:v>1.0117938222185814</c:v>
                </c:pt>
                <c:pt idx="1">
                  <c:v>2.1649979997405255</c:v>
                </c:pt>
                <c:pt idx="2">
                  <c:v>2.0134473636678711</c:v>
                </c:pt>
                <c:pt idx="3">
                  <c:v>-0.18984477778213429</c:v>
                </c:pt>
                <c:pt idx="4">
                  <c:v>0.15108079211937708</c:v>
                </c:pt>
                <c:pt idx="5">
                  <c:v>-1.0564898028922862</c:v>
                </c:pt>
                <c:pt idx="6">
                  <c:v>0.96164444732608811</c:v>
                </c:pt>
                <c:pt idx="7">
                  <c:v>-0.34160522371591828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9-4251-BA28-BF06C7D96F5F}"/>
            </c:ext>
          </c:extLst>
        </c:ser>
        <c:ser>
          <c:idx val="1"/>
          <c:order val="1"/>
          <c:tx>
            <c:strRef>
              <c:f>Wizualizacje!$K$21:$K$22</c:f>
              <c:strCache>
                <c:ptCount val="2"/>
                <c:pt idx="0">
                  <c:v>Słowenia</c:v>
                </c:pt>
                <c:pt idx="1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Wizualizacje!$I$23:$I$30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Wizualizacje!$K$23:$K$30</c:f>
              <c:numCache>
                <c:formatCode>General</c:formatCode>
                <c:ptCount val="8"/>
                <c:pt idx="0">
                  <c:v>1.3121969613231379</c:v>
                </c:pt>
                <c:pt idx="1">
                  <c:v>2.1844539547584327</c:v>
                </c:pt>
                <c:pt idx="2">
                  <c:v>1.7178835883184422</c:v>
                </c:pt>
                <c:pt idx="3">
                  <c:v>0.18704177580642919</c:v>
                </c:pt>
                <c:pt idx="4">
                  <c:v>-0.60525777058805486</c:v>
                </c:pt>
                <c:pt idx="5">
                  <c:v>-0.55839259866959168</c:v>
                </c:pt>
                <c:pt idx="6">
                  <c:v>1.269111752857192</c:v>
                </c:pt>
                <c:pt idx="7">
                  <c:v>0.60468935590413764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9-4251-BA28-BF06C7D96F5F}"/>
            </c:ext>
          </c:extLst>
        </c:ser>
        <c:ser>
          <c:idx val="2"/>
          <c:order val="2"/>
          <c:tx>
            <c:v>średnia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Wizualizacje!$I$23:$I$30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Wizualizacje!$L$23:$L$30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39-4251-BA28-BF06C7D96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503375"/>
        <c:axId val="367945935"/>
      </c:barChart>
      <c:catAx>
        <c:axId val="197350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67945935"/>
        <c:crosses val="autoZero"/>
        <c:auto val="1"/>
        <c:lblAlgn val="ctr"/>
        <c:lblOffset val="100"/>
        <c:noMultiLvlLbl val="0"/>
      </c:catAx>
      <c:valAx>
        <c:axId val="367945935"/>
        <c:scaling>
          <c:orientation val="minMax"/>
          <c:max val="2.5"/>
          <c:min val="-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7350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Bługaria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Wizualizacje!$B$1:$B$2</c:f>
              <c:strCache>
                <c:ptCount val="2"/>
                <c:pt idx="0">
                  <c:v>Bułgaria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Wizualizacje!$A$3:$A$10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Wizualizacje!$B$3:$B$10</c:f>
              <c:numCache>
                <c:formatCode>General</c:formatCode>
                <c:ptCount val="8"/>
                <c:pt idx="0">
                  <c:v>-1.8690014068229666</c:v>
                </c:pt>
                <c:pt idx="1">
                  <c:v>-1.0518399868020438</c:v>
                </c:pt>
                <c:pt idx="2">
                  <c:v>-0.46641569364068702</c:v>
                </c:pt>
                <c:pt idx="3">
                  <c:v>0.83299239230936528</c:v>
                </c:pt>
                <c:pt idx="4">
                  <c:v>-1.3187674476553592</c:v>
                </c:pt>
                <c:pt idx="5">
                  <c:v>-0.48410834415732729</c:v>
                </c:pt>
                <c:pt idx="6">
                  <c:v>-1.7037007925068495</c:v>
                </c:pt>
                <c:pt idx="7">
                  <c:v>-8.2456433310738694E-2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5-49B4-AADD-3FBF3017BEAA}"/>
            </c:ext>
          </c:extLst>
        </c:ser>
        <c:ser>
          <c:idx val="1"/>
          <c:order val="1"/>
          <c:tx>
            <c:strRef>
              <c:f>Wizualizacje!$C$1:$C$2</c:f>
              <c:strCache>
                <c:ptCount val="2"/>
                <c:pt idx="0">
                  <c:v>Bułgaria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Wizualizacje!$A$3:$A$10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Wizualizacje!$C$3:$C$10</c:f>
              <c:numCache>
                <c:formatCode>General</c:formatCode>
                <c:ptCount val="8"/>
                <c:pt idx="0">
                  <c:v>-1.9385368186601104</c:v>
                </c:pt>
                <c:pt idx="1">
                  <c:v>-1.2246938647959225</c:v>
                </c:pt>
                <c:pt idx="2">
                  <c:v>-1.0616558290047011</c:v>
                </c:pt>
                <c:pt idx="3">
                  <c:v>0.92644129579122414</c:v>
                </c:pt>
                <c:pt idx="4">
                  <c:v>-1.3171703474499457</c:v>
                </c:pt>
                <c:pt idx="5">
                  <c:v>0.46532716555799314</c:v>
                </c:pt>
                <c:pt idx="6">
                  <c:v>-1.3954284964085519</c:v>
                </c:pt>
                <c:pt idx="7">
                  <c:v>0.26232847057605951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5-49B4-AADD-3FBF3017BEAA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Wizualizacje!$A$3:$A$10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Wizualizacje!$D$3:$D$10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75-49B4-AADD-3FBF3017BE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446015"/>
        <c:axId val="2018441695"/>
      </c:radarChart>
      <c:catAx>
        <c:axId val="201844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1695"/>
        <c:crosses val="autoZero"/>
        <c:auto val="1"/>
        <c:lblAlgn val="ctr"/>
        <c:lblOffset val="100"/>
        <c:noMultiLvlLbl val="0"/>
      </c:catAx>
      <c:valAx>
        <c:axId val="2018441695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44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Chorwacja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Wizualizacje!$F$1:$F$2</c:f>
              <c:strCache>
                <c:ptCount val="2"/>
                <c:pt idx="0">
                  <c:v>Chorwacja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Wizualizacje!$E$3:$E$10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Wizualizacje!$F$3:$F$10</c:f>
              <c:numCache>
                <c:formatCode>General</c:formatCode>
                <c:ptCount val="8"/>
                <c:pt idx="0">
                  <c:v>-0.74264495256734164</c:v>
                </c:pt>
                <c:pt idx="1">
                  <c:v>0.40092555550750142</c:v>
                </c:pt>
                <c:pt idx="2">
                  <c:v>-0.73562838462199187</c:v>
                </c:pt>
                <c:pt idx="3">
                  <c:v>0.44942845352505284</c:v>
                </c:pt>
                <c:pt idx="4">
                  <c:v>-0.67124636380149705</c:v>
                </c:pt>
                <c:pt idx="5">
                  <c:v>-2.1910316228847933</c:v>
                </c:pt>
                <c:pt idx="6">
                  <c:v>0.26407362283856156</c:v>
                </c:pt>
                <c:pt idx="7">
                  <c:v>0.88935153070868389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D-4F02-9531-DB4D9B9EC4E3}"/>
            </c:ext>
          </c:extLst>
        </c:ser>
        <c:ser>
          <c:idx val="1"/>
          <c:order val="1"/>
          <c:tx>
            <c:strRef>
              <c:f>Wizualizacje!$G$1:$G$2</c:f>
              <c:strCache>
                <c:ptCount val="2"/>
                <c:pt idx="0">
                  <c:v>Chorwacja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Wizualizacje!$E$3:$E$10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Wizualizacje!$G$3:$G$10</c:f>
              <c:numCache>
                <c:formatCode>General</c:formatCode>
                <c:ptCount val="8"/>
                <c:pt idx="0">
                  <c:v>-0.23301755876133523</c:v>
                </c:pt>
                <c:pt idx="1">
                  <c:v>0.31492127951894544</c:v>
                </c:pt>
                <c:pt idx="2">
                  <c:v>0.18291405934894492</c:v>
                </c:pt>
                <c:pt idx="3">
                  <c:v>-0.19873188679433304</c:v>
                </c:pt>
                <c:pt idx="4">
                  <c:v>-0.8195579850515835</c:v>
                </c:pt>
                <c:pt idx="5">
                  <c:v>-0.76313655151510851</c:v>
                </c:pt>
                <c:pt idx="6">
                  <c:v>0.1248306642154615</c:v>
                </c:pt>
                <c:pt idx="7">
                  <c:v>0.50687196009611524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3D-4F02-9531-DB4D9B9EC4E3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Wizualizacje!$E$3:$E$10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Wizualizacje!$H$3:$H$10</c:f>
              <c:numCache>
                <c:formatCode>General</c:formatCode>
                <c:ptCount val="8"/>
                <c:pt idx="0" formatCode="0.00E+0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3D-4F02-9531-DB4D9B9EC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394655"/>
        <c:axId val="1209395135"/>
      </c:radarChart>
      <c:catAx>
        <c:axId val="12093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395135"/>
        <c:crosses val="autoZero"/>
        <c:auto val="1"/>
        <c:lblAlgn val="ctr"/>
        <c:lblOffset val="100"/>
        <c:noMultiLvlLbl val="0"/>
      </c:catAx>
      <c:valAx>
        <c:axId val="120939513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93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Czechy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Wizualizacje!$J$1:$J$2</c:f>
              <c:strCache>
                <c:ptCount val="2"/>
                <c:pt idx="0">
                  <c:v>Czechy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Wizualizacje!$I$3:$I$10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Wizualizacje!$J$3:$J$10</c:f>
              <c:numCache>
                <c:formatCode>General</c:formatCode>
                <c:ptCount val="8"/>
                <c:pt idx="0">
                  <c:v>1.6780588088080792</c:v>
                </c:pt>
                <c:pt idx="1">
                  <c:v>1.0235393593544515</c:v>
                </c:pt>
                <c:pt idx="2">
                  <c:v>1.5216164859135641</c:v>
                </c:pt>
                <c:pt idx="3">
                  <c:v>-1.2553001632941125</c:v>
                </c:pt>
                <c:pt idx="4">
                  <c:v>1.4781297054168359</c:v>
                </c:pt>
                <c:pt idx="5">
                  <c:v>1.5601111513246682</c:v>
                </c:pt>
                <c:pt idx="6">
                  <c:v>1.4509851749516665</c:v>
                </c:pt>
                <c:pt idx="7">
                  <c:v>-1.2486259901340457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DF-467D-A61D-88EED83B986D}"/>
            </c:ext>
          </c:extLst>
        </c:ser>
        <c:ser>
          <c:idx val="1"/>
          <c:order val="1"/>
          <c:tx>
            <c:strRef>
              <c:f>Wizualizacje!$K$1:$K$2</c:f>
              <c:strCache>
                <c:ptCount val="2"/>
                <c:pt idx="0">
                  <c:v>Czechy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Wizualizacje!$I$3:$I$10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Wizualizacje!$K$3:$K$10</c:f>
              <c:numCache>
                <c:formatCode>General</c:formatCode>
                <c:ptCount val="8"/>
                <c:pt idx="0">
                  <c:v>1.1929320314119782</c:v>
                </c:pt>
                <c:pt idx="1">
                  <c:v>1.0297425965222839</c:v>
                </c:pt>
                <c:pt idx="2">
                  <c:v>1.0748558126690586</c:v>
                </c:pt>
                <c:pt idx="3">
                  <c:v>-0.77739238069547634</c:v>
                </c:pt>
                <c:pt idx="4">
                  <c:v>1.8482980746681044</c:v>
                </c:pt>
                <c:pt idx="5">
                  <c:v>1.6255428983492559</c:v>
                </c:pt>
                <c:pt idx="6">
                  <c:v>1.5470085886701834</c:v>
                </c:pt>
                <c:pt idx="7">
                  <c:v>-1.4005672581603195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DF-467D-A61D-88EED83B986D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Wizualizacje!$I$3:$I$10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Wizualizacje!$L$3:$L$10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DF-467D-A61D-88EED83B9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67263"/>
        <c:axId val="1167569183"/>
      </c:radarChart>
      <c:catAx>
        <c:axId val="116756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7569183"/>
        <c:crosses val="autoZero"/>
        <c:auto val="1"/>
        <c:lblAlgn val="ctr"/>
        <c:lblOffset val="100"/>
        <c:noMultiLvlLbl val="0"/>
      </c:catAx>
      <c:valAx>
        <c:axId val="1167569183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756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Estonia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Wizualizacje!$N$1:$N$2</c:f>
              <c:strCache>
                <c:ptCount val="2"/>
                <c:pt idx="0">
                  <c:v>Estonia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Wizualizacje!$M$3:$M$10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Wizualizacje!$N$3:$N$10</c:f>
              <c:numCache>
                <c:formatCode>General</c:formatCode>
                <c:ptCount val="8"/>
                <c:pt idx="0">
                  <c:v>0.6461609904864285</c:v>
                </c:pt>
                <c:pt idx="1">
                  <c:v>0.66034797377706334</c:v>
                </c:pt>
                <c:pt idx="2">
                  <c:v>0.54830906467346208</c:v>
                </c:pt>
                <c:pt idx="3">
                  <c:v>1.9371916100222885E-3</c:v>
                </c:pt>
                <c:pt idx="4">
                  <c:v>1.7194113260163737</c:v>
                </c:pt>
                <c:pt idx="5">
                  <c:v>1.028614082499349</c:v>
                </c:pt>
                <c:pt idx="6">
                  <c:v>0.34736566158334053</c:v>
                </c:pt>
                <c:pt idx="7">
                  <c:v>-2.2204339541534686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A8-4354-A82A-7F73337EFB82}"/>
            </c:ext>
          </c:extLst>
        </c:ser>
        <c:ser>
          <c:idx val="1"/>
          <c:order val="1"/>
          <c:tx>
            <c:strRef>
              <c:f>Wizualizacje!$O$1:$O$2</c:f>
              <c:strCache>
                <c:ptCount val="2"/>
                <c:pt idx="0">
                  <c:v>Estonia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Wizualizacje!$M$3:$M$10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Wizualizacje!$O$3:$O$10</c:f>
              <c:numCache>
                <c:formatCode>General</c:formatCode>
                <c:ptCount val="8"/>
                <c:pt idx="0">
                  <c:v>-6.2502854996164689E-2</c:v>
                </c:pt>
                <c:pt idx="1">
                  <c:v>0.58985255528945779</c:v>
                </c:pt>
                <c:pt idx="2">
                  <c:v>1.0955986441416192</c:v>
                </c:pt>
                <c:pt idx="3">
                  <c:v>0.54066763319046196</c:v>
                </c:pt>
                <c:pt idx="4">
                  <c:v>0.61153158272180907</c:v>
                </c:pt>
                <c:pt idx="5">
                  <c:v>-0.967880504360626</c:v>
                </c:pt>
                <c:pt idx="6">
                  <c:v>-0.44730988010540385</c:v>
                </c:pt>
                <c:pt idx="7">
                  <c:v>-1.5962020497763643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A8-4354-A82A-7F73337EFB82}"/>
            </c:ext>
          </c:extLst>
        </c:ser>
        <c:ser>
          <c:idx val="2"/>
          <c:order val="2"/>
          <c:tx>
            <c:strRef>
              <c:f>Wizualizacje!$P$1:$P$2</c:f>
              <c:strCache>
                <c:ptCount val="2"/>
                <c:pt idx="0">
                  <c:v>Estonia</c:v>
                </c:pt>
                <c:pt idx="1">
                  <c:v>średnia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Wizualizacje!$M$3:$M$10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Wizualizacje!$P$3:$P$10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A8-4354-A82A-7F73337E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61023"/>
        <c:axId val="1167561503"/>
      </c:radarChart>
      <c:catAx>
        <c:axId val="116756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7561503"/>
        <c:crosses val="autoZero"/>
        <c:auto val="1"/>
        <c:lblAlgn val="ctr"/>
        <c:lblOffset val="100"/>
        <c:noMultiLvlLbl val="0"/>
      </c:catAx>
      <c:valAx>
        <c:axId val="1167561503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756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Litwa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Wizualizacje!$B$11:$B$12</c:f>
              <c:strCache>
                <c:ptCount val="2"/>
                <c:pt idx="0">
                  <c:v>Litwa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Wizualizacje!$A$13:$A$20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Wizualizacje!$B$13:$B$20</c:f>
              <c:numCache>
                <c:formatCode>General</c:formatCode>
                <c:ptCount val="8"/>
                <c:pt idx="0">
                  <c:v>0.43457879711285113</c:v>
                </c:pt>
                <c:pt idx="1">
                  <c:v>-1.1037244704559606</c:v>
                </c:pt>
                <c:pt idx="2">
                  <c:v>-1.1083844182884139</c:v>
                </c:pt>
                <c:pt idx="3">
                  <c:v>-0.95697265535075837</c:v>
                </c:pt>
                <c:pt idx="4">
                  <c:v>-0.67617047850761014</c:v>
                </c:pt>
                <c:pt idx="5">
                  <c:v>-7.5264445060928192E-2</c:v>
                </c:pt>
                <c:pt idx="6">
                  <c:v>-0.2565016193163091</c:v>
                </c:pt>
                <c:pt idx="7">
                  <c:v>1.0189259259112737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A-4D9D-B2D9-3897F1B46261}"/>
            </c:ext>
          </c:extLst>
        </c:ser>
        <c:ser>
          <c:idx val="1"/>
          <c:order val="1"/>
          <c:tx>
            <c:strRef>
              <c:f>Wizualizacje!$C$11:$C$12</c:f>
              <c:strCache>
                <c:ptCount val="2"/>
                <c:pt idx="0">
                  <c:v>Litwa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Wizualizacje!$A$13:$A$20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Wizualizacje!$C$13:$C$20</c:f>
              <c:numCache>
                <c:formatCode>General</c:formatCode>
                <c:ptCount val="8"/>
                <c:pt idx="0">
                  <c:v>0.76204632770663339</c:v>
                </c:pt>
                <c:pt idx="1">
                  <c:v>-0.23494127202207934</c:v>
                </c:pt>
                <c:pt idx="2">
                  <c:v>-0.99942733458701905</c:v>
                </c:pt>
                <c:pt idx="3">
                  <c:v>-1.3560528745966203</c:v>
                </c:pt>
                <c:pt idx="4">
                  <c:v>-0.47813052471986023</c:v>
                </c:pt>
                <c:pt idx="5">
                  <c:v>-1.3091204257698208</c:v>
                </c:pt>
                <c:pt idx="6">
                  <c:v>-0.46365675280028568</c:v>
                </c:pt>
                <c:pt idx="7">
                  <c:v>0.89814154332820439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A-4D9D-B2D9-3897F1B46261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Wizualizacje!$A$13:$A$20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Wizualizacje!$D$13:$D$20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A-4D9D-B2D9-3897F1B46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135951"/>
        <c:axId val="1211131631"/>
      </c:radarChart>
      <c:catAx>
        <c:axId val="121113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1131631"/>
        <c:crosses val="autoZero"/>
        <c:auto val="1"/>
        <c:lblAlgn val="ctr"/>
        <c:lblOffset val="100"/>
        <c:noMultiLvlLbl val="0"/>
      </c:catAx>
      <c:valAx>
        <c:axId val="1211131631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113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Łotwa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Wizualizacje!$F$11:$F$12</c:f>
              <c:strCache>
                <c:ptCount val="2"/>
                <c:pt idx="0">
                  <c:v>Łotwa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Wizualizacje!$E$13:$E$20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Wizualizacje!$F$13:$F$20</c:f>
              <c:numCache>
                <c:formatCode>General</c:formatCode>
                <c:ptCount val="8"/>
                <c:pt idx="0">
                  <c:v>-0.65591299441937756</c:v>
                </c:pt>
                <c:pt idx="1">
                  <c:v>-0.99995550314813442</c:v>
                </c:pt>
                <c:pt idx="2">
                  <c:v>-0.28003767680747577</c:v>
                </c:pt>
                <c:pt idx="3">
                  <c:v>-0.57340871656644632</c:v>
                </c:pt>
                <c:pt idx="4">
                  <c:v>5.7522612703229524E-2</c:v>
                </c:pt>
                <c:pt idx="5">
                  <c:v>-0.40233956433804774</c:v>
                </c:pt>
                <c:pt idx="6">
                  <c:v>-0.31897064837489375</c:v>
                </c:pt>
                <c:pt idx="7">
                  <c:v>0.56541554270220973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3-4FFC-AE01-28E0551470BF}"/>
            </c:ext>
          </c:extLst>
        </c:ser>
        <c:ser>
          <c:idx val="1"/>
          <c:order val="1"/>
          <c:tx>
            <c:strRef>
              <c:f>Wizualizacje!$G$11:$G$12</c:f>
              <c:strCache>
                <c:ptCount val="2"/>
                <c:pt idx="0">
                  <c:v>Łotwa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Wizualizacje!$E$13:$E$20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Wizualizacje!$G$13:$G$20</c:f>
              <c:numCache>
                <c:formatCode>General</c:formatCode>
                <c:ptCount val="8"/>
                <c:pt idx="0">
                  <c:v>-1.1046943846480111</c:v>
                </c:pt>
                <c:pt idx="1">
                  <c:v>-1.3346663751041288</c:v>
                </c:pt>
                <c:pt idx="2">
                  <c:v>-0.52234221071812104</c:v>
                </c:pt>
                <c:pt idx="3">
                  <c:v>5.8450554939508841E-2</c:v>
                </c:pt>
                <c:pt idx="4">
                  <c:v>-0.14759968546255403</c:v>
                </c:pt>
                <c:pt idx="5">
                  <c:v>-1.0361284886424647</c:v>
                </c:pt>
                <c:pt idx="6">
                  <c:v>-0.67616609783374981</c:v>
                </c:pt>
                <c:pt idx="7">
                  <c:v>-0.76475418540817452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83-4FFC-AE01-28E0551470BF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Wizualizacje!$E$13:$E$20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Wizualizacje!$H$13:$H$20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83-4FFC-AE01-28E055147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261503"/>
        <c:axId val="1984253343"/>
      </c:radarChart>
      <c:catAx>
        <c:axId val="1984261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84253343"/>
        <c:crosses val="autoZero"/>
        <c:auto val="1"/>
        <c:lblAlgn val="ctr"/>
        <c:lblOffset val="100"/>
        <c:noMultiLvlLbl val="0"/>
      </c:catAx>
      <c:valAx>
        <c:axId val="1984253343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8426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Węgry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Wizualizacje!$J$11:$J$12</c:f>
              <c:strCache>
                <c:ptCount val="2"/>
                <c:pt idx="0">
                  <c:v>Węgry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Wizualizacje!$I$13:$I$20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Wizualizacje!$J$13:$J$20</c:f>
              <c:numCache>
                <c:formatCode>General</c:formatCode>
                <c:ptCount val="8"/>
                <c:pt idx="0">
                  <c:v>-7.2261997930523703E-3</c:v>
                </c:pt>
                <c:pt idx="1">
                  <c:v>-0.53299515026291999</c:v>
                </c:pt>
                <c:pt idx="2">
                  <c:v>0.3412223793032278</c:v>
                </c:pt>
                <c:pt idx="3">
                  <c:v>0.76906506917864637</c:v>
                </c:pt>
                <c:pt idx="4">
                  <c:v>1.2762410024662019</c:v>
                </c:pt>
                <c:pt idx="5">
                  <c:v>0.9468453026800695</c:v>
                </c:pt>
                <c:pt idx="6">
                  <c:v>-0.38143967743347834</c:v>
                </c:pt>
                <c:pt idx="7">
                  <c:v>0.50062834510091447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3-4A76-B18F-945AEF2C6F88}"/>
            </c:ext>
          </c:extLst>
        </c:ser>
        <c:ser>
          <c:idx val="1"/>
          <c:order val="1"/>
          <c:tx>
            <c:strRef>
              <c:f>Wizualizacje!$K$11:$K$12</c:f>
              <c:strCache>
                <c:ptCount val="2"/>
                <c:pt idx="0">
                  <c:v>Węgry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Wizualizacje!$I$13:$I$20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Wizualizacje!$K$13:$K$20</c:f>
              <c:numCache>
                <c:formatCode>General</c:formatCode>
                <c:ptCount val="8"/>
                <c:pt idx="0">
                  <c:v>-0.4502292353418621</c:v>
                </c:pt>
                <c:pt idx="1">
                  <c:v>-0.72981756840899692</c:v>
                </c:pt>
                <c:pt idx="2">
                  <c:v>0.16217122787638413</c:v>
                </c:pt>
                <c:pt idx="3">
                  <c:v>0.73355446449084361</c:v>
                </c:pt>
                <c:pt idx="4">
                  <c:v>1.8482980746681044</c:v>
                </c:pt>
                <c:pt idx="5">
                  <c:v>0.60182313412167121</c:v>
                </c:pt>
                <c:pt idx="6">
                  <c:v>0.28829939116428016</c:v>
                </c:pt>
                <c:pt idx="7">
                  <c:v>0.55578065800012666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3-4A76-B18F-945AEF2C6F88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Wizualizacje!$I$13:$I$20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Wizualizacje!$L$13:$L$20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E3-4A76-B18F-945AEF2C6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514815"/>
        <c:axId val="2015517215"/>
      </c:radarChart>
      <c:catAx>
        <c:axId val="201551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5517215"/>
        <c:crosses val="autoZero"/>
        <c:auto val="1"/>
        <c:lblAlgn val="ctr"/>
        <c:lblOffset val="100"/>
        <c:noMultiLvlLbl val="0"/>
      </c:catAx>
      <c:valAx>
        <c:axId val="2015517215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5514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Polska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Wizualizacje!$N$11:$N$12</c:f>
              <c:strCache>
                <c:ptCount val="2"/>
                <c:pt idx="0">
                  <c:v>Polska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Wizualizacje!$M$13:$M$20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Wizualizacje!$N$13:$N$20</c:f>
              <c:numCache>
                <c:formatCode>General</c:formatCode>
                <c:ptCount val="8"/>
                <c:pt idx="0">
                  <c:v>5.2330681368880127E-3</c:v>
                </c:pt>
                <c:pt idx="1">
                  <c:v>0.40092555550750142</c:v>
                </c:pt>
                <c:pt idx="2">
                  <c:v>-0.36287235095556969</c:v>
                </c:pt>
                <c:pt idx="3">
                  <c:v>-0.65864514740740476</c:v>
                </c:pt>
                <c:pt idx="4">
                  <c:v>-0.33886862113886834</c:v>
                </c:pt>
                <c:pt idx="5">
                  <c:v>0.49711701367403066</c:v>
                </c:pt>
                <c:pt idx="6">
                  <c:v>0.46189221485741228</c:v>
                </c:pt>
                <c:pt idx="7">
                  <c:v>-0.6007540141210973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8-47E4-8FEA-5D5EC04A3970}"/>
            </c:ext>
          </c:extLst>
        </c:ser>
        <c:ser>
          <c:idx val="1"/>
          <c:order val="1"/>
          <c:tx>
            <c:strRef>
              <c:f>Wizualizacje!$O$11:$O$12</c:f>
              <c:strCache>
                <c:ptCount val="2"/>
                <c:pt idx="0">
                  <c:v>Polska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Wizualizacje!$M$13:$M$20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Wizualizacje!$O$13:$O$20</c:f>
              <c:numCache>
                <c:formatCode>General</c:formatCode>
                <c:ptCount val="8"/>
                <c:pt idx="0">
                  <c:v>-0.37360067191428947</c:v>
                </c:pt>
                <c:pt idx="1">
                  <c:v>0.20494876921074673</c:v>
                </c:pt>
                <c:pt idx="2">
                  <c:v>0.53554219438247841</c:v>
                </c:pt>
                <c:pt idx="3">
                  <c:v>-1.2274616537296994</c:v>
                </c:pt>
                <c:pt idx="4">
                  <c:v>1.2217423628891303E-2</c:v>
                </c:pt>
                <c:pt idx="5">
                  <c:v>1.4890469297855777</c:v>
                </c:pt>
                <c:pt idx="6">
                  <c:v>0.8440930627902633</c:v>
                </c:pt>
                <c:pt idx="7">
                  <c:v>-1.1560237686402637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78-47E4-8FEA-5D5EC04A3970}"/>
            </c:ext>
          </c:extLst>
        </c:ser>
        <c:ser>
          <c:idx val="2"/>
          <c:order val="2"/>
          <c:tx>
            <c:strRef>
              <c:f>Wizualizacje!$P$11:$P$12</c:f>
              <c:strCache>
                <c:ptCount val="2"/>
                <c:pt idx="0">
                  <c:v>Polska</c:v>
                </c:pt>
                <c:pt idx="1">
                  <c:v>średnia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Wizualizacje!$M$13:$M$20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Wizualizacje!$P$13:$P$20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78-47E4-8FEA-5D5EC04A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7565823"/>
        <c:axId val="1167564383"/>
      </c:radarChart>
      <c:catAx>
        <c:axId val="1167565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7564383"/>
        <c:crosses val="autoZero"/>
        <c:auto val="1"/>
        <c:lblAlgn val="ctr"/>
        <c:lblOffset val="100"/>
        <c:noMultiLvlLbl val="0"/>
      </c:catAx>
      <c:valAx>
        <c:axId val="1167564383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756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Rumunia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Wizualizacje!$B$21:$B$22</c:f>
              <c:strCache>
                <c:ptCount val="2"/>
                <c:pt idx="0">
                  <c:v>Rumunia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Wizualizacje!$A$23:$A$30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Wizualizacje!$B$23:$B$30</c:f>
              <c:numCache>
                <c:formatCode>General</c:formatCode>
                <c:ptCount val="8"/>
                <c:pt idx="0">
                  <c:v>-1.2388264443922912</c:v>
                </c:pt>
                <c:pt idx="1">
                  <c:v>-0.94807101949421757</c:v>
                </c:pt>
                <c:pt idx="2">
                  <c:v>-1.4190144463437657</c:v>
                </c:pt>
                <c:pt idx="3">
                  <c:v>2.367248147446614</c:v>
                </c:pt>
                <c:pt idx="4">
                  <c:v>-0.70571516674428825</c:v>
                </c:pt>
                <c:pt idx="5">
                  <c:v>0.21092628430655089</c:v>
                </c:pt>
                <c:pt idx="6">
                  <c:v>-1.8286388506240185</c:v>
                </c:pt>
                <c:pt idx="7">
                  <c:v>1.2456811175158053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F-4BC9-9EC9-ECA0DBE4E04D}"/>
            </c:ext>
          </c:extLst>
        </c:ser>
        <c:ser>
          <c:idx val="1"/>
          <c:order val="1"/>
          <c:tx>
            <c:strRef>
              <c:f>Wizualizacje!$C$21:$C$22</c:f>
              <c:strCache>
                <c:ptCount val="2"/>
                <c:pt idx="0">
                  <c:v>Rumunia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Wizualizacje!$A$23:$A$30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Wizualizacje!$C$23:$C$30</c:f>
              <c:numCache>
                <c:formatCode>General</c:formatCode>
                <c:ptCount val="8"/>
                <c:pt idx="0">
                  <c:v>-0.41679075744311761</c:v>
                </c:pt>
                <c:pt idx="1">
                  <c:v>-0.89477633387130284</c:v>
                </c:pt>
                <c:pt idx="2">
                  <c:v>-1.6217122787638421</c:v>
                </c:pt>
                <c:pt idx="3">
                  <c:v>2.0837622835935119</c:v>
                </c:pt>
                <c:pt idx="4">
                  <c:v>-7.8587751991247831E-2</c:v>
                </c:pt>
                <c:pt idx="5">
                  <c:v>-0.42189663010591361</c:v>
                </c:pt>
                <c:pt idx="6">
                  <c:v>-1.7223659503061892</c:v>
                </c:pt>
                <c:pt idx="7">
                  <c:v>1.5828633139843606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7F-4BC9-9EC9-ECA0DBE4E04D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Wizualizacje!$A$23:$A$30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Wizualizacje!$D$23:$D$30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7F-4BC9-9EC9-ECA0DBE4E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255263"/>
        <c:axId val="1984255743"/>
      </c:radarChart>
      <c:catAx>
        <c:axId val="198425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84255743"/>
        <c:crosses val="autoZero"/>
        <c:auto val="1"/>
        <c:lblAlgn val="ctr"/>
        <c:lblOffset val="100"/>
        <c:noMultiLvlLbl val="0"/>
      </c:catAx>
      <c:valAx>
        <c:axId val="1984255743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84255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Słowacja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Wizualizacje!$F$21:$F$22</c:f>
              <c:strCache>
                <c:ptCount val="2"/>
                <c:pt idx="0">
                  <c:v>Słowacja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Wizualizacje!$E$23:$E$30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Wizualizacje!$F$23:$F$30</c:f>
              <c:numCache>
                <c:formatCode>General</c:formatCode>
                <c:ptCount val="8"/>
                <c:pt idx="0">
                  <c:v>0.73778651123219807</c:v>
                </c:pt>
                <c:pt idx="1">
                  <c:v>-1.4150313723796163E-2</c:v>
                </c:pt>
                <c:pt idx="2">
                  <c:v>-5.2242322900218095E-2</c:v>
                </c:pt>
                <c:pt idx="3">
                  <c:v>-0.78649979366884204</c:v>
                </c:pt>
                <c:pt idx="4">
                  <c:v>-0.97161736087439132</c:v>
                </c:pt>
                <c:pt idx="5">
                  <c:v>-3.4380055151288426E-2</c:v>
                </c:pt>
                <c:pt idx="6">
                  <c:v>1.0032904666984777</c:v>
                </c:pt>
                <c:pt idx="7">
                  <c:v>0.2738731534963828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1D-4023-BB13-B8A63A0096C9}"/>
            </c:ext>
          </c:extLst>
        </c:ser>
        <c:ser>
          <c:idx val="1"/>
          <c:order val="1"/>
          <c:tx>
            <c:strRef>
              <c:f>Wizualizacje!$G$21:$G$22</c:f>
              <c:strCache>
                <c:ptCount val="2"/>
                <c:pt idx="0">
                  <c:v>Słowacja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Wizualizacje!$E$23:$E$30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Wizualizacje!$G$23:$G$30</c:f>
              <c:numCache>
                <c:formatCode>General</c:formatCode>
                <c:ptCount val="8"/>
                <c:pt idx="0">
                  <c:v>1.3121969613231379</c:v>
                </c:pt>
                <c:pt idx="1">
                  <c:v>9.4976258902540217E-2</c:v>
                </c:pt>
                <c:pt idx="2">
                  <c:v>-0.56382787366324272</c:v>
                </c:pt>
                <c:pt idx="3">
                  <c:v>-0.97027921199585754</c:v>
                </c:pt>
                <c:pt idx="4">
                  <c:v>-0.87404109042366673</c:v>
                </c:pt>
                <c:pt idx="5">
                  <c:v>0.8748150712490268</c:v>
                </c:pt>
                <c:pt idx="6">
                  <c:v>0.63158371775679922</c:v>
                </c:pt>
                <c:pt idx="7">
                  <c:v>0.50687196009611524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1D-4023-BB13-B8A63A0096C9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Wizualizacje!$E$23:$E$30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Wizualizacje!$H$23:$H$30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1D-4023-BB13-B8A63A009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5948639"/>
        <c:axId val="1195952959"/>
      </c:radarChart>
      <c:catAx>
        <c:axId val="1195948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5952959"/>
        <c:crosses val="autoZero"/>
        <c:auto val="1"/>
        <c:lblAlgn val="ctr"/>
        <c:lblOffset val="100"/>
        <c:noMultiLvlLbl val="0"/>
      </c:catAx>
      <c:valAx>
        <c:axId val="1195952959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9594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Słowenia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Wizualizacje!$J$21:$J$22</c:f>
              <c:strCache>
                <c:ptCount val="2"/>
                <c:pt idx="0">
                  <c:v>Słowenia</c:v>
                </c:pt>
                <c:pt idx="1">
                  <c:v>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Wizualizacje!$I$23:$I$30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Wizualizacje!$J$23:$J$30</c:f>
              <c:numCache>
                <c:formatCode>General</c:formatCode>
                <c:ptCount val="8"/>
                <c:pt idx="0">
                  <c:v>1.0117938222185814</c:v>
                </c:pt>
                <c:pt idx="1">
                  <c:v>2.1649979997405255</c:v>
                </c:pt>
                <c:pt idx="2">
                  <c:v>2.0134473636678711</c:v>
                </c:pt>
                <c:pt idx="3">
                  <c:v>-0.18984477778213429</c:v>
                </c:pt>
                <c:pt idx="4">
                  <c:v>0.15108079211937708</c:v>
                </c:pt>
                <c:pt idx="5">
                  <c:v>-1.0564898028922862</c:v>
                </c:pt>
                <c:pt idx="6">
                  <c:v>0.96164444732608811</c:v>
                </c:pt>
                <c:pt idx="7">
                  <c:v>-0.34160522371591828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B3D-9FF1-0C9ED1A0B58A}"/>
            </c:ext>
          </c:extLst>
        </c:ser>
        <c:ser>
          <c:idx val="1"/>
          <c:order val="1"/>
          <c:tx>
            <c:strRef>
              <c:f>Wizualizacje!$K$21:$K$22</c:f>
              <c:strCache>
                <c:ptCount val="2"/>
                <c:pt idx="0">
                  <c:v>Słowenia</c:v>
                </c:pt>
                <c:pt idx="1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Wizualizacje!$I$23:$I$30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Wizualizacje!$K$23:$K$30</c:f>
              <c:numCache>
                <c:formatCode>General</c:formatCode>
                <c:ptCount val="8"/>
                <c:pt idx="0">
                  <c:v>1.3121969613231379</c:v>
                </c:pt>
                <c:pt idx="1">
                  <c:v>2.1844539547584327</c:v>
                </c:pt>
                <c:pt idx="2">
                  <c:v>1.7178835883184422</c:v>
                </c:pt>
                <c:pt idx="3">
                  <c:v>0.18704177580642919</c:v>
                </c:pt>
                <c:pt idx="4">
                  <c:v>-0.60525777058805486</c:v>
                </c:pt>
                <c:pt idx="5">
                  <c:v>-0.55839259866959168</c:v>
                </c:pt>
                <c:pt idx="6">
                  <c:v>1.269111752857192</c:v>
                </c:pt>
                <c:pt idx="7">
                  <c:v>0.60468935590413764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B3D-9FF1-0C9ED1A0B58A}"/>
            </c:ext>
          </c:extLst>
        </c:ser>
        <c:ser>
          <c:idx val="2"/>
          <c:order val="2"/>
          <c:tx>
            <c:v>średnia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Wizualizacje!$I$23:$I$30</c:f>
              <c:strCache>
                <c:ptCount val="8"/>
                <c:pt idx="0">
                  <c:v>X1</c:v>
                </c:pt>
                <c:pt idx="1">
                  <c:v>X2</c:v>
                </c:pt>
                <c:pt idx="2">
                  <c:v>X3</c:v>
                </c:pt>
                <c:pt idx="3">
                  <c:v>X4</c:v>
                </c:pt>
                <c:pt idx="4">
                  <c:v>X5</c:v>
                </c:pt>
                <c:pt idx="5">
                  <c:v>X6</c:v>
                </c:pt>
                <c:pt idx="6">
                  <c:v>X7</c:v>
                </c:pt>
                <c:pt idx="7">
                  <c:v>X8</c:v>
                </c:pt>
              </c:strCache>
            </c:strRef>
          </c:cat>
          <c:val>
            <c:numRef>
              <c:f>Wizualizacje!$L$23:$L$30</c:f>
              <c:numCache>
                <c:formatCode>General</c:formatCode>
                <c:ptCount val="8"/>
                <c:pt idx="0">
                  <c:v>-2.6241635127503701E-16</c:v>
                </c:pt>
                <c:pt idx="1">
                  <c:v>-2.3819330346503357E-15</c:v>
                </c:pt>
                <c:pt idx="2">
                  <c:v>2.1195166833752989E-16</c:v>
                </c:pt>
                <c:pt idx="3">
                  <c:v>-2.0312034882346614E-16</c:v>
                </c:pt>
                <c:pt idx="4">
                  <c:v>0</c:v>
                </c:pt>
                <c:pt idx="5">
                  <c:v>-1.6653345369377348E-16</c:v>
                </c:pt>
                <c:pt idx="6">
                  <c:v>-1.5139404881252134E-16</c:v>
                </c:pt>
                <c:pt idx="7">
                  <c:v>-4.0371746350005693E-17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8-4B3D-9FF1-0C9ED1A0B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1831215"/>
        <c:axId val="2011833615"/>
      </c:radarChart>
      <c:catAx>
        <c:axId val="201183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1833615"/>
        <c:crosses val="autoZero"/>
        <c:auto val="1"/>
        <c:lblAlgn val="ctr"/>
        <c:lblOffset val="100"/>
        <c:noMultiLvlLbl val="0"/>
      </c:catAx>
      <c:valAx>
        <c:axId val="2011833615"/>
        <c:scaling>
          <c:orientation val="minMax"/>
          <c:max val="3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183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32</xdr:row>
      <xdr:rowOff>14287</xdr:rowOff>
    </xdr:from>
    <xdr:to>
      <xdr:col>7</xdr:col>
      <xdr:colOff>323850</xdr:colOff>
      <xdr:row>46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78C8042-0742-62FD-42B6-DA7E5A1EF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32</xdr:row>
      <xdr:rowOff>14287</xdr:rowOff>
    </xdr:from>
    <xdr:to>
      <xdr:col>15</xdr:col>
      <xdr:colOff>38100</xdr:colOff>
      <xdr:row>46</xdr:row>
      <xdr:rowOff>90487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903280C5-D968-E25C-3F73-B6329F8AF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47625</xdr:colOff>
      <xdr:row>32</xdr:row>
      <xdr:rowOff>14287</xdr:rowOff>
    </xdr:from>
    <xdr:to>
      <xdr:col>22</xdr:col>
      <xdr:colOff>352425</xdr:colOff>
      <xdr:row>46</xdr:row>
      <xdr:rowOff>90487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64B4EA46-31D2-4793-600B-93A4BB500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371475</xdr:colOff>
      <xdr:row>32</xdr:row>
      <xdr:rowOff>4762</xdr:rowOff>
    </xdr:from>
    <xdr:to>
      <xdr:col>30</xdr:col>
      <xdr:colOff>66675</xdr:colOff>
      <xdr:row>46</xdr:row>
      <xdr:rowOff>80962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3B67B3FB-E147-9A6C-66D3-192C56800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28575</xdr:colOff>
      <xdr:row>46</xdr:row>
      <xdr:rowOff>90487</xdr:rowOff>
    </xdr:from>
    <xdr:to>
      <xdr:col>7</xdr:col>
      <xdr:colOff>333375</xdr:colOff>
      <xdr:row>60</xdr:row>
      <xdr:rowOff>166687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D49B23A0-045F-C38C-734F-E225E45CCC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338818</xdr:colOff>
      <xdr:row>46</xdr:row>
      <xdr:rowOff>100012</xdr:rowOff>
    </xdr:from>
    <xdr:to>
      <xdr:col>15</xdr:col>
      <xdr:colOff>34018</xdr:colOff>
      <xdr:row>60</xdr:row>
      <xdr:rowOff>176212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852BA74C-F30E-225B-1F0B-407052D4F3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40821</xdr:colOff>
      <xdr:row>46</xdr:row>
      <xdr:rowOff>82323</xdr:rowOff>
    </xdr:from>
    <xdr:to>
      <xdr:col>22</xdr:col>
      <xdr:colOff>345621</xdr:colOff>
      <xdr:row>60</xdr:row>
      <xdr:rowOff>158523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63149FCC-81F4-15F5-1A39-540830E72B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359228</xdr:colOff>
      <xdr:row>46</xdr:row>
      <xdr:rowOff>76880</xdr:rowOff>
    </xdr:from>
    <xdr:to>
      <xdr:col>30</xdr:col>
      <xdr:colOff>54428</xdr:colOff>
      <xdr:row>60</xdr:row>
      <xdr:rowOff>153080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8E09C438-8C04-1795-65C2-644600FED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14968</xdr:colOff>
      <xdr:row>60</xdr:row>
      <xdr:rowOff>169408</xdr:rowOff>
    </xdr:from>
    <xdr:to>
      <xdr:col>7</xdr:col>
      <xdr:colOff>319768</xdr:colOff>
      <xdr:row>75</xdr:row>
      <xdr:rowOff>55108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02412867-BEFD-F6A0-03B4-08928CCB7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322489</xdr:colOff>
      <xdr:row>61</xdr:row>
      <xdr:rowOff>6123</xdr:rowOff>
    </xdr:from>
    <xdr:to>
      <xdr:col>15</xdr:col>
      <xdr:colOff>17689</xdr:colOff>
      <xdr:row>75</xdr:row>
      <xdr:rowOff>82323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5C22CE96-4B1A-47EE-A783-D92B291D8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28575</xdr:colOff>
      <xdr:row>60</xdr:row>
      <xdr:rowOff>161244</xdr:rowOff>
    </xdr:from>
    <xdr:to>
      <xdr:col>22</xdr:col>
      <xdr:colOff>333375</xdr:colOff>
      <xdr:row>75</xdr:row>
      <xdr:rowOff>46944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A875CAE3-F01B-5DEC-B5C5-F5FBFA702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</xdr:colOff>
      <xdr:row>78</xdr:row>
      <xdr:rowOff>47624</xdr:rowOff>
    </xdr:from>
    <xdr:to>
      <xdr:col>7</xdr:col>
      <xdr:colOff>333375</xdr:colOff>
      <xdr:row>92</xdr:row>
      <xdr:rowOff>104774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8DFD1E79-1AA9-98A1-2B47-6BC62BC6F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326573</xdr:colOff>
      <xdr:row>78</xdr:row>
      <xdr:rowOff>40142</xdr:rowOff>
    </xdr:from>
    <xdr:to>
      <xdr:col>14</xdr:col>
      <xdr:colOff>557894</xdr:colOff>
      <xdr:row>92</xdr:row>
      <xdr:rowOff>116342</xdr:rowOff>
    </xdr:to>
    <xdr:graphicFrame macro="">
      <xdr:nvGraphicFramePr>
        <xdr:cNvPr id="14" name="Wykres 13">
          <a:extLst>
            <a:ext uri="{FF2B5EF4-FFF2-40B4-BE49-F238E27FC236}">
              <a16:creationId xmlns:a16="http://schemas.microsoft.com/office/drawing/2014/main" id="{D45E421A-6E6F-A97A-EE17-1A06309E0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571501</xdr:colOff>
      <xdr:row>78</xdr:row>
      <xdr:rowOff>43542</xdr:rowOff>
    </xdr:from>
    <xdr:to>
      <xdr:col>22</xdr:col>
      <xdr:colOff>197305</xdr:colOff>
      <xdr:row>92</xdr:row>
      <xdr:rowOff>119742</xdr:rowOff>
    </xdr:to>
    <xdr:graphicFrame macro="">
      <xdr:nvGraphicFramePr>
        <xdr:cNvPr id="15" name="Wykres 14">
          <a:extLst>
            <a:ext uri="{FF2B5EF4-FFF2-40B4-BE49-F238E27FC236}">
              <a16:creationId xmlns:a16="http://schemas.microsoft.com/office/drawing/2014/main" id="{1DC07521-64FE-8272-8372-43AC55EC0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190501</xdr:colOff>
      <xdr:row>78</xdr:row>
      <xdr:rowOff>40142</xdr:rowOff>
    </xdr:from>
    <xdr:to>
      <xdr:col>29</xdr:col>
      <xdr:colOff>421823</xdr:colOff>
      <xdr:row>92</xdr:row>
      <xdr:rowOff>116342</xdr:rowOff>
    </xdr:to>
    <xdr:graphicFrame macro="">
      <xdr:nvGraphicFramePr>
        <xdr:cNvPr id="16" name="Wykres 15">
          <a:extLst>
            <a:ext uri="{FF2B5EF4-FFF2-40B4-BE49-F238E27FC236}">
              <a16:creationId xmlns:a16="http://schemas.microsoft.com/office/drawing/2014/main" id="{EEC4D2B6-9E40-DF6F-20FD-AE9BEEE26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105456</xdr:colOff>
      <xdr:row>92</xdr:row>
      <xdr:rowOff>121784</xdr:rowOff>
    </xdr:from>
    <xdr:to>
      <xdr:col>7</xdr:col>
      <xdr:colOff>343581</xdr:colOff>
      <xdr:row>107</xdr:row>
      <xdr:rowOff>7484</xdr:rowOff>
    </xdr:to>
    <xdr:graphicFrame macro="">
      <xdr:nvGraphicFramePr>
        <xdr:cNvPr id="17" name="Wykres 16">
          <a:extLst>
            <a:ext uri="{FF2B5EF4-FFF2-40B4-BE49-F238E27FC236}">
              <a16:creationId xmlns:a16="http://schemas.microsoft.com/office/drawing/2014/main" id="{56862875-2FE3-E6C6-B6C6-140A24804D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333375</xdr:colOff>
      <xdr:row>92</xdr:row>
      <xdr:rowOff>108177</xdr:rowOff>
    </xdr:from>
    <xdr:to>
      <xdr:col>14</xdr:col>
      <xdr:colOff>564696</xdr:colOff>
      <xdr:row>106</xdr:row>
      <xdr:rowOff>184377</xdr:rowOff>
    </xdr:to>
    <xdr:graphicFrame macro="">
      <xdr:nvGraphicFramePr>
        <xdr:cNvPr id="18" name="Wykres 17">
          <a:extLst>
            <a:ext uri="{FF2B5EF4-FFF2-40B4-BE49-F238E27FC236}">
              <a16:creationId xmlns:a16="http://schemas.microsoft.com/office/drawing/2014/main" id="{EBE8EE31-EB10-D789-B44D-E5E3C0DC98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557892</xdr:colOff>
      <xdr:row>92</xdr:row>
      <xdr:rowOff>125187</xdr:rowOff>
    </xdr:from>
    <xdr:to>
      <xdr:col>22</xdr:col>
      <xdr:colOff>183696</xdr:colOff>
      <xdr:row>107</xdr:row>
      <xdr:rowOff>10887</xdr:rowOff>
    </xdr:to>
    <xdr:graphicFrame macro="">
      <xdr:nvGraphicFramePr>
        <xdr:cNvPr id="19" name="Wykres 18">
          <a:extLst>
            <a:ext uri="{FF2B5EF4-FFF2-40B4-BE49-F238E27FC236}">
              <a16:creationId xmlns:a16="http://schemas.microsoft.com/office/drawing/2014/main" id="{9B66BE6B-38A1-5A51-ECCB-78D2F71E82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176893</xdr:colOff>
      <xdr:row>92</xdr:row>
      <xdr:rowOff>118382</xdr:rowOff>
    </xdr:from>
    <xdr:to>
      <xdr:col>29</xdr:col>
      <xdr:colOff>415018</xdr:colOff>
      <xdr:row>107</xdr:row>
      <xdr:rowOff>4082</xdr:rowOff>
    </xdr:to>
    <xdr:graphicFrame macro="">
      <xdr:nvGraphicFramePr>
        <xdr:cNvPr id="20" name="Wykres 19">
          <a:extLst>
            <a:ext uri="{FF2B5EF4-FFF2-40B4-BE49-F238E27FC236}">
              <a16:creationId xmlns:a16="http://schemas.microsoft.com/office/drawing/2014/main" id="{826414B2-E925-3C67-30DE-BD5EE5E06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88446</xdr:colOff>
      <xdr:row>107</xdr:row>
      <xdr:rowOff>12928</xdr:rowOff>
    </xdr:from>
    <xdr:to>
      <xdr:col>7</xdr:col>
      <xdr:colOff>326571</xdr:colOff>
      <xdr:row>121</xdr:row>
      <xdr:rowOff>89128</xdr:rowOff>
    </xdr:to>
    <xdr:graphicFrame macro="">
      <xdr:nvGraphicFramePr>
        <xdr:cNvPr id="21" name="Wykres 20">
          <a:extLst>
            <a:ext uri="{FF2B5EF4-FFF2-40B4-BE49-F238E27FC236}">
              <a16:creationId xmlns:a16="http://schemas.microsoft.com/office/drawing/2014/main" id="{8D93EBF2-D170-C3D3-DFD9-ADA758FEBA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333375</xdr:colOff>
      <xdr:row>107</xdr:row>
      <xdr:rowOff>2722</xdr:rowOff>
    </xdr:from>
    <xdr:to>
      <xdr:col>14</xdr:col>
      <xdr:colOff>564696</xdr:colOff>
      <xdr:row>121</xdr:row>
      <xdr:rowOff>78922</xdr:rowOff>
    </xdr:to>
    <xdr:graphicFrame macro="">
      <xdr:nvGraphicFramePr>
        <xdr:cNvPr id="22" name="Wykres 21">
          <a:extLst>
            <a:ext uri="{FF2B5EF4-FFF2-40B4-BE49-F238E27FC236}">
              <a16:creationId xmlns:a16="http://schemas.microsoft.com/office/drawing/2014/main" id="{4EB51F4E-A941-89A8-11C9-ED8627F82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14</xdr:col>
      <xdr:colOff>544286</xdr:colOff>
      <xdr:row>107</xdr:row>
      <xdr:rowOff>29936</xdr:rowOff>
    </xdr:from>
    <xdr:to>
      <xdr:col>22</xdr:col>
      <xdr:colOff>170090</xdr:colOff>
      <xdr:row>121</xdr:row>
      <xdr:rowOff>106136</xdr:rowOff>
    </xdr:to>
    <xdr:graphicFrame macro="">
      <xdr:nvGraphicFramePr>
        <xdr:cNvPr id="23" name="Wykres 22">
          <a:extLst>
            <a:ext uri="{FF2B5EF4-FFF2-40B4-BE49-F238E27FC236}">
              <a16:creationId xmlns:a16="http://schemas.microsoft.com/office/drawing/2014/main" id="{7B6F5F64-C2F8-0ABE-1A57-12B7DDC29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B8942-1829-4118-AD9F-4033D5A4F0A3}">
  <dimension ref="C2:AA34"/>
  <sheetViews>
    <sheetView topLeftCell="A15" workbookViewId="0">
      <selection activeCell="K43" sqref="K43"/>
    </sheetView>
  </sheetViews>
  <sheetFormatPr defaultRowHeight="15"/>
  <sheetData>
    <row r="2" spans="3:27" ht="15.75">
      <c r="C2" s="97" t="s">
        <v>0</v>
      </c>
    </row>
    <row r="4" spans="3:27" ht="15.75" thickBot="1">
      <c r="D4" s="197" t="s">
        <v>1</v>
      </c>
      <c r="E4" s="197"/>
      <c r="F4" s="197"/>
      <c r="G4" s="197" t="s">
        <v>1</v>
      </c>
      <c r="H4" s="197"/>
      <c r="I4" s="197"/>
      <c r="J4" s="197" t="s">
        <v>1</v>
      </c>
      <c r="K4" s="197"/>
      <c r="L4" s="197"/>
      <c r="M4" s="197" t="s">
        <v>1</v>
      </c>
      <c r="N4" s="197"/>
      <c r="O4" s="197"/>
      <c r="P4" s="197" t="s">
        <v>1</v>
      </c>
      <c r="Q4" s="197"/>
      <c r="R4" s="197"/>
      <c r="S4" s="172" t="s">
        <v>2</v>
      </c>
      <c r="T4" s="172"/>
      <c r="U4" s="172"/>
      <c r="V4" s="172" t="s">
        <v>2</v>
      </c>
      <c r="W4" s="172"/>
      <c r="X4" s="172"/>
      <c r="Y4" s="172" t="s">
        <v>2</v>
      </c>
      <c r="Z4" s="172"/>
      <c r="AA4" s="172"/>
    </row>
    <row r="5" spans="3:27" ht="15.75" thickTop="1">
      <c r="C5" s="4"/>
      <c r="D5" s="173" t="s">
        <v>3</v>
      </c>
      <c r="E5" s="174"/>
      <c r="F5" s="175"/>
      <c r="G5" s="173" t="s">
        <v>4</v>
      </c>
      <c r="H5" s="174"/>
      <c r="I5" s="175"/>
      <c r="J5" s="173" t="s">
        <v>5</v>
      </c>
      <c r="K5" s="174"/>
      <c r="L5" s="175"/>
      <c r="M5" s="173" t="s">
        <v>6</v>
      </c>
      <c r="N5" s="174"/>
      <c r="O5" s="175"/>
      <c r="P5" s="179" t="s">
        <v>7</v>
      </c>
      <c r="Q5" s="180"/>
      <c r="R5" s="181"/>
      <c r="S5" s="185" t="s">
        <v>8</v>
      </c>
      <c r="T5" s="186"/>
      <c r="U5" s="187"/>
      <c r="V5" s="185" t="s">
        <v>9</v>
      </c>
      <c r="W5" s="186"/>
      <c r="X5" s="187"/>
      <c r="Y5" s="191" t="s">
        <v>10</v>
      </c>
      <c r="Z5" s="192"/>
      <c r="AA5" s="193"/>
    </row>
    <row r="6" spans="3:27">
      <c r="C6" s="5"/>
      <c r="D6" s="176"/>
      <c r="E6" s="177"/>
      <c r="F6" s="178"/>
      <c r="G6" s="176"/>
      <c r="H6" s="177"/>
      <c r="I6" s="178"/>
      <c r="J6" s="176"/>
      <c r="K6" s="177"/>
      <c r="L6" s="178"/>
      <c r="M6" s="176"/>
      <c r="N6" s="177"/>
      <c r="O6" s="178"/>
      <c r="P6" s="182"/>
      <c r="Q6" s="183"/>
      <c r="R6" s="184"/>
      <c r="S6" s="188"/>
      <c r="T6" s="189"/>
      <c r="U6" s="190"/>
      <c r="V6" s="188"/>
      <c r="W6" s="189"/>
      <c r="X6" s="190"/>
      <c r="Y6" s="194"/>
      <c r="Z6" s="195"/>
      <c r="AA6" s="196"/>
    </row>
    <row r="7" spans="3:27" ht="15.75" thickBot="1">
      <c r="C7" s="6"/>
      <c r="D7" s="198">
        <v>2015</v>
      </c>
      <c r="E7" s="199"/>
      <c r="F7" s="7">
        <v>2023</v>
      </c>
      <c r="G7" s="198">
        <v>2015</v>
      </c>
      <c r="H7" s="199"/>
      <c r="I7" s="7">
        <v>2023</v>
      </c>
      <c r="J7" s="198">
        <v>2015</v>
      </c>
      <c r="K7" s="199"/>
      <c r="L7" s="7">
        <v>2023</v>
      </c>
      <c r="M7" s="198">
        <v>2015</v>
      </c>
      <c r="N7" s="199"/>
      <c r="O7" s="7">
        <v>2023</v>
      </c>
      <c r="P7" s="198">
        <v>2015</v>
      </c>
      <c r="Q7" s="199"/>
      <c r="R7" s="7">
        <v>2023</v>
      </c>
      <c r="S7" s="198">
        <v>2015</v>
      </c>
      <c r="T7" s="199"/>
      <c r="U7" s="7">
        <v>2023</v>
      </c>
      <c r="V7" s="198">
        <v>2015</v>
      </c>
      <c r="W7" s="199"/>
      <c r="X7" s="7">
        <v>2023</v>
      </c>
      <c r="Y7" s="198">
        <v>2015</v>
      </c>
      <c r="Z7" s="199"/>
      <c r="AA7" s="7">
        <v>2023</v>
      </c>
    </row>
    <row r="8" spans="3:27" ht="16.5" thickTop="1">
      <c r="C8" s="1" t="s">
        <v>11</v>
      </c>
      <c r="D8" s="200">
        <v>13586</v>
      </c>
      <c r="E8" s="201"/>
      <c r="F8" s="10">
        <v>24284</v>
      </c>
      <c r="G8" s="200">
        <v>74.7</v>
      </c>
      <c r="H8" s="201"/>
      <c r="I8" s="10">
        <v>75.8</v>
      </c>
      <c r="J8" s="200">
        <v>0.95</v>
      </c>
      <c r="K8" s="201"/>
      <c r="L8" s="10">
        <v>0.79</v>
      </c>
      <c r="M8" s="200">
        <v>22.2</v>
      </c>
      <c r="N8" s="201"/>
      <c r="O8" s="10">
        <v>18.7</v>
      </c>
      <c r="P8" s="200">
        <v>3.94</v>
      </c>
      <c r="Q8" s="201"/>
      <c r="R8" s="10">
        <v>5.48</v>
      </c>
      <c r="S8" s="200">
        <v>10.1</v>
      </c>
      <c r="T8" s="201"/>
      <c r="U8" s="10">
        <v>4.3</v>
      </c>
      <c r="V8" s="202">
        <v>43.3</v>
      </c>
      <c r="W8" s="203"/>
      <c r="X8" s="16">
        <v>30</v>
      </c>
      <c r="Y8" s="200">
        <v>7.6</v>
      </c>
      <c r="Z8" s="201"/>
      <c r="AA8" s="10">
        <v>5.7</v>
      </c>
    </row>
    <row r="9" spans="3:27">
      <c r="C9" s="2" t="s">
        <v>12</v>
      </c>
      <c r="D9" s="204">
        <v>17084.599999999999</v>
      </c>
      <c r="E9" s="205"/>
      <c r="F9" s="10">
        <v>30029.1</v>
      </c>
      <c r="G9" s="204">
        <v>77.5</v>
      </c>
      <c r="H9" s="205"/>
      <c r="I9" s="10">
        <v>78.599999999999994</v>
      </c>
      <c r="J9" s="204">
        <v>0.82</v>
      </c>
      <c r="K9" s="205"/>
      <c r="L9" s="10">
        <v>1.39</v>
      </c>
      <c r="M9" s="204">
        <v>20.399999999999999</v>
      </c>
      <c r="N9" s="205"/>
      <c r="O9" s="10">
        <v>15.2</v>
      </c>
      <c r="P9" s="204">
        <v>6.57</v>
      </c>
      <c r="Q9" s="205"/>
      <c r="R9" s="10">
        <v>6.85</v>
      </c>
      <c r="S9" s="204">
        <v>16.2</v>
      </c>
      <c r="T9" s="205"/>
      <c r="U9" s="10">
        <v>6.1</v>
      </c>
      <c r="V9" s="206">
        <v>24.4</v>
      </c>
      <c r="W9" s="207"/>
      <c r="X9" s="16">
        <v>20.7</v>
      </c>
      <c r="Y9" s="204">
        <v>4.5999999999999996</v>
      </c>
      <c r="Z9" s="205"/>
      <c r="AA9" s="10">
        <v>5.2</v>
      </c>
    </row>
    <row r="10" spans="3:27">
      <c r="C10" s="2" t="s">
        <v>13</v>
      </c>
      <c r="D10" s="204">
        <v>24603.599999999999</v>
      </c>
      <c r="E10" s="205"/>
      <c r="F10" s="10" t="s">
        <v>14</v>
      </c>
      <c r="G10" s="204">
        <v>78.7</v>
      </c>
      <c r="H10" s="205"/>
      <c r="I10" s="10">
        <v>79.900000000000006</v>
      </c>
      <c r="J10" s="204">
        <v>1.91</v>
      </c>
      <c r="K10" s="205"/>
      <c r="L10" s="10">
        <v>1.82</v>
      </c>
      <c r="M10" s="204">
        <v>12.4</v>
      </c>
      <c r="N10" s="205"/>
      <c r="O10" s="10">
        <v>13.4</v>
      </c>
      <c r="P10" s="204">
        <v>15.3</v>
      </c>
      <c r="Q10" s="205"/>
      <c r="R10" s="10">
        <v>19.190000000000001</v>
      </c>
      <c r="S10" s="204">
        <v>5.0999999999999996</v>
      </c>
      <c r="T10" s="205"/>
      <c r="U10" s="10">
        <v>2.6</v>
      </c>
      <c r="V10" s="206">
        <v>13</v>
      </c>
      <c r="W10" s="207"/>
      <c r="X10" s="16">
        <v>12</v>
      </c>
      <c r="Y10" s="204">
        <v>11.2</v>
      </c>
      <c r="Z10" s="205"/>
      <c r="AA10" s="10">
        <v>9.1</v>
      </c>
    </row>
    <row r="11" spans="3:27">
      <c r="C11" s="2" t="s">
        <v>15</v>
      </c>
      <c r="D11" s="204">
        <v>21398.400000000001</v>
      </c>
      <c r="E11" s="205"/>
      <c r="F11" s="10">
        <v>30583.4</v>
      </c>
      <c r="G11" s="204">
        <v>78</v>
      </c>
      <c r="H11" s="205"/>
      <c r="I11" s="10">
        <v>79.099999999999994</v>
      </c>
      <c r="J11" s="204">
        <v>1.44</v>
      </c>
      <c r="K11" s="205"/>
      <c r="L11" s="10">
        <v>1.83</v>
      </c>
      <c r="M11" s="204">
        <v>18.3</v>
      </c>
      <c r="N11" s="205"/>
      <c r="O11" s="10">
        <v>17.5</v>
      </c>
      <c r="P11" s="204">
        <v>16.28</v>
      </c>
      <c r="Q11" s="205"/>
      <c r="R11" s="10">
        <v>10.79</v>
      </c>
      <c r="S11" s="204">
        <v>6.4</v>
      </c>
      <c r="T11" s="205"/>
      <c r="U11" s="10">
        <v>6.4</v>
      </c>
      <c r="V11" s="206">
        <v>23.6</v>
      </c>
      <c r="W11" s="207"/>
      <c r="X11" s="16">
        <v>24.2</v>
      </c>
      <c r="Y11" s="204">
        <v>14.2</v>
      </c>
      <c r="Z11" s="205"/>
      <c r="AA11" s="10">
        <v>9.5</v>
      </c>
    </row>
    <row r="12" spans="3:27">
      <c r="C12" s="2" t="s">
        <v>16</v>
      </c>
      <c r="D12" s="204">
        <v>20741.2</v>
      </c>
      <c r="E12" s="205"/>
      <c r="F12" s="10">
        <v>33263.800000000003</v>
      </c>
      <c r="G12" s="204">
        <v>74.599999999999994</v>
      </c>
      <c r="H12" s="205"/>
      <c r="I12" s="10">
        <v>77.599999999999994</v>
      </c>
      <c r="J12" s="204">
        <v>0.64</v>
      </c>
      <c r="K12" s="205"/>
      <c r="L12" s="10">
        <v>0.82</v>
      </c>
      <c r="M12" s="204">
        <v>13.8</v>
      </c>
      <c r="N12" s="205"/>
      <c r="O12" s="10">
        <v>11.6</v>
      </c>
      <c r="P12" s="204">
        <v>6.55</v>
      </c>
      <c r="Q12" s="205"/>
      <c r="R12" s="10">
        <v>7.79</v>
      </c>
      <c r="S12" s="204">
        <v>9.1</v>
      </c>
      <c r="T12" s="205"/>
      <c r="U12" s="10">
        <v>6.9</v>
      </c>
      <c r="V12" s="206">
        <v>29.4</v>
      </c>
      <c r="W12" s="207"/>
      <c r="X12" s="16">
        <v>24.3</v>
      </c>
      <c r="Y12" s="204">
        <v>4.2</v>
      </c>
      <c r="Z12" s="205"/>
      <c r="AA12" s="10">
        <v>4.4000000000000004</v>
      </c>
    </row>
    <row r="13" spans="3:27">
      <c r="C13" s="2" t="s">
        <v>17</v>
      </c>
      <c r="D13" s="204">
        <v>17354</v>
      </c>
      <c r="E13" s="205"/>
      <c r="F13" s="10">
        <v>27195.5</v>
      </c>
      <c r="G13" s="204">
        <v>74.8</v>
      </c>
      <c r="H13" s="205"/>
      <c r="I13" s="10">
        <v>75.599999999999994</v>
      </c>
      <c r="J13" s="204">
        <v>1.04</v>
      </c>
      <c r="K13" s="205"/>
      <c r="L13" s="10">
        <v>1.05</v>
      </c>
      <c r="M13" s="204">
        <v>15.6</v>
      </c>
      <c r="N13" s="205"/>
      <c r="O13" s="10">
        <v>16</v>
      </c>
      <c r="P13" s="204">
        <v>9.5299999999999994</v>
      </c>
      <c r="Q13" s="205"/>
      <c r="R13" s="10">
        <v>8.6999999999999993</v>
      </c>
      <c r="S13" s="204">
        <v>9.9</v>
      </c>
      <c r="T13" s="205"/>
      <c r="U13" s="10">
        <v>6.5</v>
      </c>
      <c r="V13" s="206">
        <v>30</v>
      </c>
      <c r="W13" s="207"/>
      <c r="X13" s="16">
        <v>25.6</v>
      </c>
      <c r="Y13" s="204">
        <v>5.6</v>
      </c>
      <c r="Z13" s="205"/>
      <c r="AA13" s="10">
        <v>7.8</v>
      </c>
    </row>
    <row r="14" spans="3:27">
      <c r="C14" s="2" t="s">
        <v>18</v>
      </c>
      <c r="D14" s="204">
        <v>19368.900000000001</v>
      </c>
      <c r="E14" s="205"/>
      <c r="F14" s="10">
        <v>29323</v>
      </c>
      <c r="G14" s="204">
        <v>75.7</v>
      </c>
      <c r="H14" s="205"/>
      <c r="I14" s="10">
        <v>76.7</v>
      </c>
      <c r="J14" s="204">
        <v>1.34</v>
      </c>
      <c r="K14" s="205"/>
      <c r="L14" s="10">
        <v>1.38</v>
      </c>
      <c r="M14" s="204">
        <v>21.9</v>
      </c>
      <c r="N14" s="205"/>
      <c r="O14" s="10">
        <v>18.100000000000001</v>
      </c>
      <c r="P14" s="204">
        <v>14.48</v>
      </c>
      <c r="Q14" s="205"/>
      <c r="R14" s="10">
        <v>14.77</v>
      </c>
      <c r="S14" s="204">
        <v>6.6</v>
      </c>
      <c r="T14" s="205"/>
      <c r="U14" s="10">
        <v>4.0999999999999996</v>
      </c>
      <c r="V14" s="206">
        <v>30.6</v>
      </c>
      <c r="W14" s="207"/>
      <c r="X14" s="16">
        <v>19.7</v>
      </c>
      <c r="Y14" s="204">
        <v>5.8</v>
      </c>
      <c r="Z14" s="205"/>
      <c r="AA14" s="10">
        <v>5.0999999999999996</v>
      </c>
    </row>
    <row r="15" spans="3:27">
      <c r="C15" s="2" t="s">
        <v>19</v>
      </c>
      <c r="D15" s="204">
        <v>19407.599999999999</v>
      </c>
      <c r="E15" s="205"/>
      <c r="F15" s="10">
        <v>29572.1</v>
      </c>
      <c r="G15" s="204">
        <v>77.5</v>
      </c>
      <c r="H15" s="205"/>
      <c r="I15" s="10">
        <v>78.400000000000006</v>
      </c>
      <c r="J15" s="204">
        <v>1</v>
      </c>
      <c r="K15" s="205"/>
      <c r="L15" s="10">
        <v>1.56</v>
      </c>
      <c r="M15" s="204">
        <v>15.2</v>
      </c>
      <c r="N15" s="205"/>
      <c r="O15" s="10">
        <v>12</v>
      </c>
      <c r="P15" s="204">
        <v>7.92</v>
      </c>
      <c r="Q15" s="205"/>
      <c r="R15" s="10">
        <v>9.14</v>
      </c>
      <c r="S15" s="204">
        <v>7.7</v>
      </c>
      <c r="T15" s="205"/>
      <c r="U15" s="10">
        <v>2.8</v>
      </c>
      <c r="V15" s="206">
        <v>22.5</v>
      </c>
      <c r="W15" s="207"/>
      <c r="X15" s="16">
        <v>16.3</v>
      </c>
      <c r="Y15" s="204">
        <v>9.1999999999999993</v>
      </c>
      <c r="Z15" s="205"/>
      <c r="AA15" s="10">
        <v>8.6</v>
      </c>
    </row>
    <row r="16" spans="3:27">
      <c r="C16" s="2" t="s">
        <v>20</v>
      </c>
      <c r="D16" s="204">
        <v>15543.4</v>
      </c>
      <c r="E16" s="205"/>
      <c r="F16" s="10">
        <v>29431.7</v>
      </c>
      <c r="G16" s="204">
        <v>74.900000000000006</v>
      </c>
      <c r="H16" s="205"/>
      <c r="I16" s="10">
        <v>76.400000000000006</v>
      </c>
      <c r="J16" s="204">
        <v>0.49</v>
      </c>
      <c r="K16" s="205"/>
      <c r="L16" s="10">
        <v>0.52</v>
      </c>
      <c r="M16" s="204">
        <v>29.4</v>
      </c>
      <c r="N16" s="205"/>
      <c r="O16" s="10">
        <v>22.3</v>
      </c>
      <c r="P16" s="204">
        <v>6.43</v>
      </c>
      <c r="Q16" s="205"/>
      <c r="R16" s="10">
        <v>8.89</v>
      </c>
      <c r="S16" s="204">
        <v>8.4</v>
      </c>
      <c r="T16" s="205"/>
      <c r="U16" s="10">
        <v>5.6</v>
      </c>
      <c r="V16" s="206">
        <v>44.5</v>
      </c>
      <c r="W16" s="207"/>
      <c r="X16" s="16">
        <v>32</v>
      </c>
      <c r="Y16" s="204">
        <v>3.5</v>
      </c>
      <c r="Z16" s="205"/>
      <c r="AA16" s="10">
        <v>3</v>
      </c>
    </row>
    <row r="17" spans="3:27">
      <c r="C17" s="2" t="s">
        <v>21</v>
      </c>
      <c r="D17" s="204">
        <v>21683</v>
      </c>
      <c r="E17" s="205"/>
      <c r="F17" s="10">
        <v>35052.199999999997</v>
      </c>
      <c r="G17" s="204">
        <v>76.7</v>
      </c>
      <c r="H17" s="205"/>
      <c r="I17" s="10">
        <v>78.2</v>
      </c>
      <c r="J17" s="204">
        <v>1.1499999999999999</v>
      </c>
      <c r="K17" s="205"/>
      <c r="L17" s="10">
        <v>1.03</v>
      </c>
      <c r="M17" s="204">
        <v>14.6</v>
      </c>
      <c r="N17" s="205"/>
      <c r="O17" s="10">
        <v>12.8</v>
      </c>
      <c r="P17" s="204">
        <v>5.35</v>
      </c>
      <c r="Q17" s="205"/>
      <c r="R17" s="10">
        <v>6.7</v>
      </c>
      <c r="S17" s="204">
        <v>9</v>
      </c>
      <c r="T17" s="205"/>
      <c r="U17" s="10">
        <v>3.7</v>
      </c>
      <c r="V17" s="206">
        <v>17.3</v>
      </c>
      <c r="W17" s="207"/>
      <c r="X17" s="16">
        <v>17.600000000000001</v>
      </c>
      <c r="Y17" s="204">
        <v>6.5</v>
      </c>
      <c r="Z17" s="205"/>
      <c r="AA17" s="10">
        <v>5.2</v>
      </c>
    </row>
    <row r="18" spans="3:27" ht="15.75" thickBot="1">
      <c r="C18" s="3" t="s">
        <v>22</v>
      </c>
      <c r="D18" s="211">
        <v>22534.1</v>
      </c>
      <c r="E18" s="210"/>
      <c r="F18" s="13">
        <v>35052.199999999997</v>
      </c>
      <c r="G18" s="211">
        <v>80.900000000000006</v>
      </c>
      <c r="H18" s="210"/>
      <c r="I18" s="13">
        <v>82</v>
      </c>
      <c r="J18" s="211">
        <v>2.2200000000000002</v>
      </c>
      <c r="K18" s="210"/>
      <c r="L18" s="13">
        <v>2.13</v>
      </c>
      <c r="M18" s="211">
        <v>17.399999999999999</v>
      </c>
      <c r="N18" s="210"/>
      <c r="O18" s="13">
        <v>16.399999999999999</v>
      </c>
      <c r="P18" s="211">
        <v>9.91</v>
      </c>
      <c r="Q18" s="210"/>
      <c r="R18" s="13">
        <v>7.44</v>
      </c>
      <c r="S18" s="211">
        <v>11.5</v>
      </c>
      <c r="T18" s="210"/>
      <c r="U18" s="13">
        <v>5.8</v>
      </c>
      <c r="V18" s="208">
        <v>17.7</v>
      </c>
      <c r="W18" s="209"/>
      <c r="X18" s="17">
        <v>13.7</v>
      </c>
      <c r="Y18" s="210">
        <v>8.4</v>
      </c>
      <c r="Z18" s="210"/>
      <c r="AA18" s="13">
        <v>5</v>
      </c>
    </row>
    <row r="19" spans="3:27" ht="15.75" thickTop="1"/>
    <row r="24" spans="3:27" ht="15.75">
      <c r="C24" s="97" t="s">
        <v>23</v>
      </c>
    </row>
    <row r="25" spans="3:27" ht="15.75">
      <c r="C25" s="98" t="s">
        <v>24</v>
      </c>
    </row>
    <row r="26" spans="3:27" ht="15.75">
      <c r="C26" s="98" t="s">
        <v>25</v>
      </c>
    </row>
    <row r="27" spans="3:27" ht="15.75">
      <c r="C27" s="98" t="s">
        <v>26</v>
      </c>
    </row>
    <row r="28" spans="3:27" ht="15.75">
      <c r="C28" s="98" t="s">
        <v>27</v>
      </c>
    </row>
    <row r="29" spans="3:27" ht="15.75">
      <c r="C29" s="98" t="s">
        <v>28</v>
      </c>
    </row>
    <row r="31" spans="3:27" ht="15.75">
      <c r="C31" s="97" t="s">
        <v>29</v>
      </c>
    </row>
    <row r="32" spans="3:27" ht="15.75">
      <c r="C32" s="98" t="s">
        <v>30</v>
      </c>
    </row>
    <row r="33" spans="3:3" ht="15.75">
      <c r="C33" s="98" t="s">
        <v>31</v>
      </c>
    </row>
    <row r="34" spans="3:3" ht="15.75">
      <c r="C34" s="98" t="s">
        <v>32</v>
      </c>
    </row>
  </sheetData>
  <mergeCells count="112">
    <mergeCell ref="V18:W18"/>
    <mergeCell ref="Y18:Z18"/>
    <mergeCell ref="D18:E18"/>
    <mergeCell ref="G18:H18"/>
    <mergeCell ref="J18:K18"/>
    <mergeCell ref="M18:N18"/>
    <mergeCell ref="P18:Q18"/>
    <mergeCell ref="S18:T18"/>
    <mergeCell ref="V16:W16"/>
    <mergeCell ref="Y16:Z16"/>
    <mergeCell ref="D17:E17"/>
    <mergeCell ref="G17:H17"/>
    <mergeCell ref="J17:K17"/>
    <mergeCell ref="M17:N17"/>
    <mergeCell ref="P17:Q17"/>
    <mergeCell ref="S17:T17"/>
    <mergeCell ref="V17:W17"/>
    <mergeCell ref="Y17:Z17"/>
    <mergeCell ref="D16:E16"/>
    <mergeCell ref="G16:H16"/>
    <mergeCell ref="J16:K16"/>
    <mergeCell ref="M16:N16"/>
    <mergeCell ref="P16:Q16"/>
    <mergeCell ref="S16:T16"/>
    <mergeCell ref="V14:W14"/>
    <mergeCell ref="Y14:Z14"/>
    <mergeCell ref="D15:E15"/>
    <mergeCell ref="G15:H15"/>
    <mergeCell ref="J15:K15"/>
    <mergeCell ref="M15:N15"/>
    <mergeCell ref="P15:Q15"/>
    <mergeCell ref="S15:T15"/>
    <mergeCell ref="V15:W15"/>
    <mergeCell ref="Y15:Z15"/>
    <mergeCell ref="D14:E14"/>
    <mergeCell ref="G14:H14"/>
    <mergeCell ref="J14:K14"/>
    <mergeCell ref="M14:N14"/>
    <mergeCell ref="P14:Q14"/>
    <mergeCell ref="S14:T14"/>
    <mergeCell ref="V12:W12"/>
    <mergeCell ref="Y12:Z12"/>
    <mergeCell ref="D13:E13"/>
    <mergeCell ref="G13:H13"/>
    <mergeCell ref="J13:K13"/>
    <mergeCell ref="M13:N13"/>
    <mergeCell ref="P13:Q13"/>
    <mergeCell ref="S13:T13"/>
    <mergeCell ref="V13:W13"/>
    <mergeCell ref="Y13:Z13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1:W11"/>
    <mergeCell ref="Y11:Z11"/>
    <mergeCell ref="D10:E10"/>
    <mergeCell ref="G10:H10"/>
    <mergeCell ref="J10:K10"/>
    <mergeCell ref="M10:N10"/>
    <mergeCell ref="P10:Q10"/>
    <mergeCell ref="S10:T10"/>
    <mergeCell ref="D9:E9"/>
    <mergeCell ref="G9:H9"/>
    <mergeCell ref="J9:K9"/>
    <mergeCell ref="M9:N9"/>
    <mergeCell ref="P9:Q9"/>
    <mergeCell ref="S9:T9"/>
    <mergeCell ref="V9:W9"/>
    <mergeCell ref="Y9:Z9"/>
    <mergeCell ref="V10:W10"/>
    <mergeCell ref="Y10:Z10"/>
    <mergeCell ref="P7:Q7"/>
    <mergeCell ref="S7:T7"/>
    <mergeCell ref="V7:W7"/>
    <mergeCell ref="Y7:Z7"/>
    <mergeCell ref="D8:E8"/>
    <mergeCell ref="G8:H8"/>
    <mergeCell ref="J8:K8"/>
    <mergeCell ref="M8:N8"/>
    <mergeCell ref="P8:Q8"/>
    <mergeCell ref="S8:T8"/>
    <mergeCell ref="D7:E7"/>
    <mergeCell ref="G7:H7"/>
    <mergeCell ref="J7:K7"/>
    <mergeCell ref="M7:N7"/>
    <mergeCell ref="V8:W8"/>
    <mergeCell ref="Y8:Z8"/>
    <mergeCell ref="V4:X4"/>
    <mergeCell ref="Y4:AA4"/>
    <mergeCell ref="D5:F6"/>
    <mergeCell ref="G5:I6"/>
    <mergeCell ref="J5:L6"/>
    <mergeCell ref="M5:O6"/>
    <mergeCell ref="P5:R6"/>
    <mergeCell ref="S5:U6"/>
    <mergeCell ref="V5:X6"/>
    <mergeCell ref="Y5:AA6"/>
    <mergeCell ref="D4:F4"/>
    <mergeCell ref="G4:I4"/>
    <mergeCell ref="J4:L4"/>
    <mergeCell ref="M4:O4"/>
    <mergeCell ref="P4:R4"/>
    <mergeCell ref="S4:U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60B6E-3B8A-4CB1-9C37-196AB4C99D1C}">
  <dimension ref="A3:Z117"/>
  <sheetViews>
    <sheetView topLeftCell="A82" zoomScaleNormal="100" workbookViewId="0">
      <selection activeCell="N112" sqref="N112"/>
    </sheetView>
  </sheetViews>
  <sheetFormatPr defaultRowHeight="15"/>
  <cols>
    <col min="2" max="2" width="10.42578125" customWidth="1"/>
    <col min="7" max="7" width="9.42578125" bestFit="1" customWidth="1"/>
  </cols>
  <sheetData>
    <row r="3" spans="2:26" ht="15.75" thickBot="1">
      <c r="C3" s="197" t="s">
        <v>1</v>
      </c>
      <c r="D3" s="197"/>
      <c r="E3" s="197"/>
      <c r="F3" s="197" t="s">
        <v>1</v>
      </c>
      <c r="G3" s="197"/>
      <c r="H3" s="197"/>
      <c r="I3" s="197" t="s">
        <v>1</v>
      </c>
      <c r="J3" s="197"/>
      <c r="K3" s="197"/>
      <c r="L3" s="197" t="s">
        <v>1</v>
      </c>
      <c r="M3" s="197"/>
      <c r="N3" s="197"/>
      <c r="O3" s="197" t="s">
        <v>1</v>
      </c>
      <c r="P3" s="197"/>
      <c r="Q3" s="197"/>
      <c r="R3" s="172" t="s">
        <v>2</v>
      </c>
      <c r="S3" s="172"/>
      <c r="T3" s="172"/>
      <c r="U3" s="172" t="s">
        <v>2</v>
      </c>
      <c r="V3" s="172"/>
      <c r="W3" s="172"/>
      <c r="X3" s="172" t="s">
        <v>2</v>
      </c>
      <c r="Y3" s="172"/>
      <c r="Z3" s="172"/>
    </row>
    <row r="4" spans="2:26" ht="15.75" customHeight="1" thickTop="1">
      <c r="B4" s="4"/>
      <c r="C4" s="173" t="s">
        <v>3</v>
      </c>
      <c r="D4" s="174"/>
      <c r="E4" s="175"/>
      <c r="F4" s="173" t="s">
        <v>4</v>
      </c>
      <c r="G4" s="174"/>
      <c r="H4" s="175"/>
      <c r="I4" s="173" t="s">
        <v>5</v>
      </c>
      <c r="J4" s="174"/>
      <c r="K4" s="175"/>
      <c r="L4" s="173" t="s">
        <v>6</v>
      </c>
      <c r="M4" s="174"/>
      <c r="N4" s="175"/>
      <c r="O4" s="173" t="s">
        <v>7</v>
      </c>
      <c r="P4" s="174"/>
      <c r="Q4" s="175"/>
      <c r="R4" s="185" t="s">
        <v>8</v>
      </c>
      <c r="S4" s="186"/>
      <c r="T4" s="187"/>
      <c r="U4" s="185" t="s">
        <v>9</v>
      </c>
      <c r="V4" s="186"/>
      <c r="W4" s="187"/>
      <c r="X4" s="191" t="s">
        <v>10</v>
      </c>
      <c r="Y4" s="192"/>
      <c r="Z4" s="193"/>
    </row>
    <row r="5" spans="2:26">
      <c r="B5" s="5"/>
      <c r="C5" s="176"/>
      <c r="D5" s="177"/>
      <c r="E5" s="178"/>
      <c r="F5" s="176"/>
      <c r="G5" s="177"/>
      <c r="H5" s="178"/>
      <c r="I5" s="176"/>
      <c r="J5" s="177"/>
      <c r="K5" s="178"/>
      <c r="L5" s="176"/>
      <c r="M5" s="177"/>
      <c r="N5" s="178"/>
      <c r="O5" s="176"/>
      <c r="P5" s="177"/>
      <c r="Q5" s="178"/>
      <c r="R5" s="188"/>
      <c r="S5" s="189"/>
      <c r="T5" s="190"/>
      <c r="U5" s="188"/>
      <c r="V5" s="189"/>
      <c r="W5" s="190"/>
      <c r="X5" s="194"/>
      <c r="Y5" s="195"/>
      <c r="Z5" s="196"/>
    </row>
    <row r="6" spans="2:26" ht="15.75" thickBot="1">
      <c r="B6" s="6"/>
      <c r="C6" s="198">
        <v>2015</v>
      </c>
      <c r="D6" s="199"/>
      <c r="E6" s="7">
        <v>2023</v>
      </c>
      <c r="F6" s="198">
        <v>2015</v>
      </c>
      <c r="G6" s="199"/>
      <c r="H6" s="7">
        <v>2023</v>
      </c>
      <c r="I6" s="198">
        <v>2015</v>
      </c>
      <c r="J6" s="199"/>
      <c r="K6" s="7">
        <v>2023</v>
      </c>
      <c r="L6" s="198">
        <v>2015</v>
      </c>
      <c r="M6" s="199"/>
      <c r="N6" s="7">
        <v>2023</v>
      </c>
      <c r="O6" s="198">
        <v>2015</v>
      </c>
      <c r="P6" s="199"/>
      <c r="Q6" s="7">
        <v>2023</v>
      </c>
      <c r="R6" s="198">
        <v>2015</v>
      </c>
      <c r="S6" s="199"/>
      <c r="T6" s="7">
        <v>2023</v>
      </c>
      <c r="U6" s="198">
        <v>2015</v>
      </c>
      <c r="V6" s="199"/>
      <c r="W6" s="7">
        <v>2023</v>
      </c>
      <c r="X6" s="198">
        <v>2015</v>
      </c>
      <c r="Y6" s="199"/>
      <c r="Z6" s="7">
        <v>2023</v>
      </c>
    </row>
    <row r="7" spans="2:26" ht="16.5" thickTop="1">
      <c r="B7" s="1" t="s">
        <v>11</v>
      </c>
      <c r="C7" s="200">
        <v>13586</v>
      </c>
      <c r="D7" s="201"/>
      <c r="E7" s="10">
        <v>24284</v>
      </c>
      <c r="F7" s="200">
        <v>74.7</v>
      </c>
      <c r="G7" s="201"/>
      <c r="H7" s="10">
        <v>75.8</v>
      </c>
      <c r="I7" s="200">
        <v>0.95</v>
      </c>
      <c r="J7" s="201"/>
      <c r="K7" s="10">
        <v>0.79</v>
      </c>
      <c r="L7" s="200">
        <v>22.2</v>
      </c>
      <c r="M7" s="201"/>
      <c r="N7" s="10">
        <v>18.7</v>
      </c>
      <c r="O7" s="200">
        <v>3.94</v>
      </c>
      <c r="P7" s="201"/>
      <c r="Q7" s="10">
        <v>5.48</v>
      </c>
      <c r="R7" s="200">
        <v>10.1</v>
      </c>
      <c r="S7" s="201"/>
      <c r="T7" s="10">
        <v>4.3</v>
      </c>
      <c r="U7" s="202">
        <v>43.3</v>
      </c>
      <c r="V7" s="203"/>
      <c r="W7" s="16">
        <v>30</v>
      </c>
      <c r="X7" s="200">
        <v>7.6</v>
      </c>
      <c r="Y7" s="201"/>
      <c r="Z7" s="10">
        <v>5.7</v>
      </c>
    </row>
    <row r="8" spans="2:26">
      <c r="B8" s="2" t="s">
        <v>12</v>
      </c>
      <c r="C8" s="204">
        <v>17084.599999999999</v>
      </c>
      <c r="D8" s="205"/>
      <c r="E8" s="10">
        <v>30029.1</v>
      </c>
      <c r="F8" s="204">
        <v>77.5</v>
      </c>
      <c r="G8" s="205"/>
      <c r="H8" s="10">
        <v>78.599999999999994</v>
      </c>
      <c r="I8" s="204">
        <v>0.82</v>
      </c>
      <c r="J8" s="205"/>
      <c r="K8" s="10">
        <v>1.39</v>
      </c>
      <c r="L8" s="204">
        <v>20.399999999999999</v>
      </c>
      <c r="M8" s="205"/>
      <c r="N8" s="10">
        <v>15.2</v>
      </c>
      <c r="O8" s="204">
        <v>6.57</v>
      </c>
      <c r="P8" s="205"/>
      <c r="Q8" s="10">
        <v>6.85</v>
      </c>
      <c r="R8" s="204">
        <v>16.2</v>
      </c>
      <c r="S8" s="205"/>
      <c r="T8" s="10">
        <v>6.1</v>
      </c>
      <c r="U8" s="206">
        <v>24.4</v>
      </c>
      <c r="V8" s="207"/>
      <c r="W8" s="16">
        <v>20.7</v>
      </c>
      <c r="X8" s="204">
        <v>4.5999999999999996</v>
      </c>
      <c r="Y8" s="205"/>
      <c r="Z8" s="10">
        <v>5.2</v>
      </c>
    </row>
    <row r="9" spans="2:26">
      <c r="B9" s="2" t="s">
        <v>13</v>
      </c>
      <c r="C9" s="204">
        <v>24603.599999999999</v>
      </c>
      <c r="D9" s="205"/>
      <c r="E9" s="10">
        <v>34664.5</v>
      </c>
      <c r="F9" s="204">
        <v>78.7</v>
      </c>
      <c r="G9" s="205"/>
      <c r="H9" s="10">
        <v>79.900000000000006</v>
      </c>
      <c r="I9" s="204">
        <v>1.91</v>
      </c>
      <c r="J9" s="205"/>
      <c r="K9" s="10">
        <v>1.82</v>
      </c>
      <c r="L9" s="204">
        <v>12.4</v>
      </c>
      <c r="M9" s="205"/>
      <c r="N9" s="10">
        <v>13.4</v>
      </c>
      <c r="O9" s="204">
        <v>15.3</v>
      </c>
      <c r="P9" s="205"/>
      <c r="Q9" s="10">
        <v>19.190000000000001</v>
      </c>
      <c r="R9" s="204">
        <v>5.0999999999999996</v>
      </c>
      <c r="S9" s="205"/>
      <c r="T9" s="10">
        <v>2.6</v>
      </c>
      <c r="U9" s="206">
        <v>13</v>
      </c>
      <c r="V9" s="207"/>
      <c r="W9" s="16">
        <v>12</v>
      </c>
      <c r="X9" s="204">
        <v>11.2</v>
      </c>
      <c r="Y9" s="205"/>
      <c r="Z9" s="10">
        <v>9.1</v>
      </c>
    </row>
    <row r="10" spans="2:26">
      <c r="B10" s="2" t="s">
        <v>15</v>
      </c>
      <c r="C10" s="204">
        <v>21398.400000000001</v>
      </c>
      <c r="D10" s="205"/>
      <c r="E10" s="10">
        <v>30583.4</v>
      </c>
      <c r="F10" s="204">
        <v>78</v>
      </c>
      <c r="G10" s="205"/>
      <c r="H10" s="10">
        <v>79.099999999999994</v>
      </c>
      <c r="I10" s="204">
        <v>1.44</v>
      </c>
      <c r="J10" s="205"/>
      <c r="K10" s="10">
        <v>1.83</v>
      </c>
      <c r="L10" s="204">
        <v>18.3</v>
      </c>
      <c r="M10" s="205"/>
      <c r="N10" s="10">
        <v>17.5</v>
      </c>
      <c r="O10" s="204">
        <v>16.28</v>
      </c>
      <c r="P10" s="205"/>
      <c r="Q10" s="10">
        <v>10.79</v>
      </c>
      <c r="R10" s="204">
        <v>6.4</v>
      </c>
      <c r="S10" s="205"/>
      <c r="T10" s="10">
        <v>6.4</v>
      </c>
      <c r="U10" s="206">
        <v>23.6</v>
      </c>
      <c r="V10" s="207"/>
      <c r="W10" s="16">
        <v>24.2</v>
      </c>
      <c r="X10" s="204">
        <v>14.2</v>
      </c>
      <c r="Y10" s="205"/>
      <c r="Z10" s="10">
        <v>9.5</v>
      </c>
    </row>
    <row r="11" spans="2:26">
      <c r="B11" s="2" t="s">
        <v>16</v>
      </c>
      <c r="C11" s="204">
        <v>20741.2</v>
      </c>
      <c r="D11" s="205"/>
      <c r="E11" s="10">
        <v>33263.800000000003</v>
      </c>
      <c r="F11" s="204">
        <v>74.599999999999994</v>
      </c>
      <c r="G11" s="205"/>
      <c r="H11" s="10">
        <v>77.599999999999994</v>
      </c>
      <c r="I11" s="204">
        <v>0.64</v>
      </c>
      <c r="J11" s="205"/>
      <c r="K11" s="10">
        <v>0.82</v>
      </c>
      <c r="L11" s="204">
        <v>13.8</v>
      </c>
      <c r="M11" s="205"/>
      <c r="N11" s="10">
        <v>11.6</v>
      </c>
      <c r="O11" s="204">
        <v>6.55</v>
      </c>
      <c r="P11" s="205"/>
      <c r="Q11" s="10">
        <v>7.79</v>
      </c>
      <c r="R11" s="204">
        <v>9.1</v>
      </c>
      <c r="S11" s="205"/>
      <c r="T11" s="10">
        <v>6.9</v>
      </c>
      <c r="U11" s="206">
        <v>29.4</v>
      </c>
      <c r="V11" s="207"/>
      <c r="W11" s="16">
        <v>24.3</v>
      </c>
      <c r="X11" s="204">
        <v>4.2</v>
      </c>
      <c r="Y11" s="205"/>
      <c r="Z11" s="10">
        <v>4.4000000000000004</v>
      </c>
    </row>
    <row r="12" spans="2:26">
      <c r="B12" s="2" t="s">
        <v>17</v>
      </c>
      <c r="C12" s="204">
        <v>17354</v>
      </c>
      <c r="D12" s="205"/>
      <c r="E12" s="10">
        <v>27195.5</v>
      </c>
      <c r="F12" s="204">
        <v>74.8</v>
      </c>
      <c r="G12" s="205"/>
      <c r="H12" s="10">
        <v>75.599999999999994</v>
      </c>
      <c r="I12" s="204">
        <v>1.04</v>
      </c>
      <c r="J12" s="205"/>
      <c r="K12" s="10">
        <v>1.05</v>
      </c>
      <c r="L12" s="204">
        <v>15.6</v>
      </c>
      <c r="M12" s="205"/>
      <c r="N12" s="10">
        <v>16</v>
      </c>
      <c r="O12" s="204">
        <v>9.5299999999999994</v>
      </c>
      <c r="P12" s="205"/>
      <c r="Q12" s="10">
        <v>8.6999999999999993</v>
      </c>
      <c r="R12" s="204">
        <v>9.9</v>
      </c>
      <c r="S12" s="205"/>
      <c r="T12" s="10">
        <v>6.5</v>
      </c>
      <c r="U12" s="206">
        <v>30</v>
      </c>
      <c r="V12" s="207"/>
      <c r="W12" s="16">
        <v>25.6</v>
      </c>
      <c r="X12" s="204">
        <v>5.6</v>
      </c>
      <c r="Y12" s="205"/>
      <c r="Z12" s="10">
        <v>7.8</v>
      </c>
    </row>
    <row r="13" spans="2:26">
      <c r="B13" s="2" t="s">
        <v>18</v>
      </c>
      <c r="C13" s="204">
        <v>19368.900000000001</v>
      </c>
      <c r="D13" s="205"/>
      <c r="E13" s="10">
        <v>29323</v>
      </c>
      <c r="F13" s="204">
        <v>75.7</v>
      </c>
      <c r="G13" s="205"/>
      <c r="H13" s="10">
        <v>76.7</v>
      </c>
      <c r="I13" s="204">
        <v>1.34</v>
      </c>
      <c r="J13" s="205"/>
      <c r="K13" s="10">
        <v>1.38</v>
      </c>
      <c r="L13" s="204">
        <v>21.9</v>
      </c>
      <c r="M13" s="205"/>
      <c r="N13" s="10">
        <v>18.100000000000001</v>
      </c>
      <c r="O13" s="204">
        <v>14.48</v>
      </c>
      <c r="P13" s="205"/>
      <c r="Q13" s="10">
        <v>14.77</v>
      </c>
      <c r="R13" s="204">
        <v>6.6</v>
      </c>
      <c r="S13" s="205"/>
      <c r="T13" s="10">
        <v>4.0999999999999996</v>
      </c>
      <c r="U13" s="206">
        <v>30.6</v>
      </c>
      <c r="V13" s="207"/>
      <c r="W13" s="16">
        <v>19.7</v>
      </c>
      <c r="X13" s="204">
        <v>5.8</v>
      </c>
      <c r="Y13" s="205"/>
      <c r="Z13" s="10">
        <v>5.0999999999999996</v>
      </c>
    </row>
    <row r="14" spans="2:26">
      <c r="B14" s="2" t="s">
        <v>19</v>
      </c>
      <c r="C14" s="204">
        <v>19407.599999999999</v>
      </c>
      <c r="D14" s="205"/>
      <c r="E14" s="10">
        <v>29572.1</v>
      </c>
      <c r="F14" s="204">
        <v>77.5</v>
      </c>
      <c r="G14" s="205"/>
      <c r="H14" s="10">
        <v>78.400000000000006</v>
      </c>
      <c r="I14" s="204">
        <v>1</v>
      </c>
      <c r="J14" s="205"/>
      <c r="K14" s="10">
        <v>1.56</v>
      </c>
      <c r="L14" s="204">
        <v>15.2</v>
      </c>
      <c r="M14" s="205"/>
      <c r="N14" s="10">
        <v>12</v>
      </c>
      <c r="O14" s="204">
        <v>7.92</v>
      </c>
      <c r="P14" s="205"/>
      <c r="Q14" s="10">
        <v>9.14</v>
      </c>
      <c r="R14" s="204">
        <v>7.7</v>
      </c>
      <c r="S14" s="205"/>
      <c r="T14" s="10">
        <v>2.8</v>
      </c>
      <c r="U14" s="206">
        <v>22.5</v>
      </c>
      <c r="V14" s="207"/>
      <c r="W14" s="16">
        <v>16.3</v>
      </c>
      <c r="X14" s="204">
        <v>9.1999999999999993</v>
      </c>
      <c r="Y14" s="205"/>
      <c r="Z14" s="10">
        <v>8.6</v>
      </c>
    </row>
    <row r="15" spans="2:26">
      <c r="B15" s="2" t="s">
        <v>20</v>
      </c>
      <c r="C15" s="204">
        <v>15543.4</v>
      </c>
      <c r="D15" s="205"/>
      <c r="E15" s="10">
        <v>29431.7</v>
      </c>
      <c r="F15" s="204">
        <v>74.900000000000006</v>
      </c>
      <c r="G15" s="205"/>
      <c r="H15" s="10">
        <v>76.400000000000006</v>
      </c>
      <c r="I15" s="204">
        <v>0.49</v>
      </c>
      <c r="J15" s="205"/>
      <c r="K15" s="10">
        <v>0.52</v>
      </c>
      <c r="L15" s="204">
        <v>29.4</v>
      </c>
      <c r="M15" s="205"/>
      <c r="N15" s="10">
        <v>22.3</v>
      </c>
      <c r="O15" s="204">
        <v>6.43</v>
      </c>
      <c r="P15" s="205"/>
      <c r="Q15" s="10">
        <v>8.89</v>
      </c>
      <c r="R15" s="204">
        <v>8.4</v>
      </c>
      <c r="S15" s="205"/>
      <c r="T15" s="10">
        <v>5.6</v>
      </c>
      <c r="U15" s="206">
        <v>44.5</v>
      </c>
      <c r="V15" s="207"/>
      <c r="W15" s="16">
        <v>32</v>
      </c>
      <c r="X15" s="204">
        <v>3.5</v>
      </c>
      <c r="Y15" s="205"/>
      <c r="Z15" s="10">
        <v>3</v>
      </c>
    </row>
    <row r="16" spans="2:26">
      <c r="B16" s="2" t="s">
        <v>21</v>
      </c>
      <c r="C16" s="204">
        <v>21683</v>
      </c>
      <c r="D16" s="205"/>
      <c r="E16" s="10">
        <v>35052.199999999997</v>
      </c>
      <c r="F16" s="204">
        <v>76.7</v>
      </c>
      <c r="G16" s="205"/>
      <c r="H16" s="10">
        <v>78.2</v>
      </c>
      <c r="I16" s="204">
        <v>1.1499999999999999</v>
      </c>
      <c r="J16" s="205"/>
      <c r="K16" s="10">
        <v>1.03</v>
      </c>
      <c r="L16" s="204">
        <v>14.6</v>
      </c>
      <c r="M16" s="205"/>
      <c r="N16" s="10">
        <v>12.8</v>
      </c>
      <c r="O16" s="204">
        <v>5.35</v>
      </c>
      <c r="P16" s="205"/>
      <c r="Q16" s="10">
        <v>6.7</v>
      </c>
      <c r="R16" s="204">
        <v>9</v>
      </c>
      <c r="S16" s="205"/>
      <c r="T16" s="10">
        <v>3.7</v>
      </c>
      <c r="U16" s="206">
        <v>17.3</v>
      </c>
      <c r="V16" s="207"/>
      <c r="W16" s="16">
        <v>17.600000000000001</v>
      </c>
      <c r="X16" s="204">
        <v>6.5</v>
      </c>
      <c r="Y16" s="205"/>
      <c r="Z16" s="10">
        <v>5.2</v>
      </c>
    </row>
    <row r="17" spans="1:26" ht="15.75" thickBot="1">
      <c r="B17" s="3" t="s">
        <v>22</v>
      </c>
      <c r="C17" s="211">
        <v>22534.1</v>
      </c>
      <c r="D17" s="210"/>
      <c r="E17" s="13">
        <v>35052.199999999997</v>
      </c>
      <c r="F17" s="211">
        <v>80.900000000000006</v>
      </c>
      <c r="G17" s="210"/>
      <c r="H17" s="13">
        <v>82</v>
      </c>
      <c r="I17" s="211">
        <v>2.2200000000000002</v>
      </c>
      <c r="J17" s="210"/>
      <c r="K17" s="13">
        <v>2.13</v>
      </c>
      <c r="L17" s="211">
        <v>17.399999999999999</v>
      </c>
      <c r="M17" s="210"/>
      <c r="N17" s="13">
        <v>16.399999999999999</v>
      </c>
      <c r="O17" s="211">
        <v>9.91</v>
      </c>
      <c r="P17" s="210"/>
      <c r="Q17" s="13">
        <v>7.44</v>
      </c>
      <c r="R17" s="211">
        <v>11.5</v>
      </c>
      <c r="S17" s="210"/>
      <c r="T17" s="13">
        <v>5.8</v>
      </c>
      <c r="U17" s="208">
        <v>17.7</v>
      </c>
      <c r="V17" s="209"/>
      <c r="W17" s="17">
        <v>13.7</v>
      </c>
      <c r="X17" s="210">
        <v>8.4</v>
      </c>
      <c r="Y17" s="210"/>
      <c r="Z17" s="13">
        <v>5</v>
      </c>
    </row>
    <row r="18" spans="1:26" ht="15.75" thickTop="1">
      <c r="F18" s="213"/>
      <c r="G18" s="213"/>
    </row>
    <row r="20" spans="1:26">
      <c r="A20" s="18" t="s">
        <v>33</v>
      </c>
      <c r="D20" s="19">
        <f>AVERAGE(C$7:D$17)</f>
        <v>19391.345454545455</v>
      </c>
      <c r="E20" s="19">
        <f>AVERAGE(E$7:E$17)</f>
        <v>30768.31818181818</v>
      </c>
      <c r="F20" s="19"/>
      <c r="G20" s="19">
        <f>AVERAGE(F$7:G$17)</f>
        <v>76.727272727272734</v>
      </c>
      <c r="H20" s="19">
        <f>AVERAGE(H$7:H$17)</f>
        <v>78.027272727272731</v>
      </c>
      <c r="J20" s="19">
        <f>AVERAGE(I$7:J$17)</f>
        <v>1.1818181818181819</v>
      </c>
      <c r="K20" s="19">
        <f>AVERAGE(K$7:K$17)</f>
        <v>1.3018181818181818</v>
      </c>
      <c r="M20" s="19">
        <f>AVERAGE(L$7:M$17)</f>
        <v>18.290909090909089</v>
      </c>
      <c r="N20" s="19">
        <f>AVERAGE(N$7:N$17)</f>
        <v>15.81818181818182</v>
      </c>
      <c r="P20" s="19">
        <f>AVERAGE(O$7:P$17)</f>
        <v>9.2963636363636351</v>
      </c>
      <c r="Q20" s="19">
        <f>AVERAGE(Q$7:Q$17)</f>
        <v>9.6127272727272715</v>
      </c>
      <c r="S20" s="19">
        <f>AVERAGE(R$7:S$17)</f>
        <v>9.0909090909090917</v>
      </c>
      <c r="T20" s="19">
        <f>AVERAGE(T$7:T$17)</f>
        <v>4.9818181818181815</v>
      </c>
      <c r="V20" s="19">
        <f>AVERAGE(U$7:V$17)</f>
        <v>26.936363636363634</v>
      </c>
      <c r="W20" s="19">
        <f>AVERAGE(W$7:W$17)</f>
        <v>21.463636363636365</v>
      </c>
      <c r="Y20" s="19">
        <f>AVERAGE(X$7:Y$17)</f>
        <v>7.3454545454545448</v>
      </c>
      <c r="Z20" s="19">
        <f>AVERAGE(Z$7:Z$17)</f>
        <v>6.2363636363636354</v>
      </c>
    </row>
    <row r="21" spans="1:26">
      <c r="A21" s="18" t="s">
        <v>34</v>
      </c>
      <c r="D21">
        <f>_xlfn.STDEV.P(C$7:D$17)</f>
        <v>3106.1215006861376</v>
      </c>
      <c r="E21">
        <f>_xlfn.STDEV.P(E$7:E$17)</f>
        <v>3286.4657747739211</v>
      </c>
      <c r="G21">
        <f>_xlfn.STDEV.P(F$7:G$17)</f>
        <v>1.9273584886578983</v>
      </c>
      <c r="H21">
        <f>_xlfn.STDEV.P(H$7:H$17)</f>
        <v>1.8186363068323828</v>
      </c>
      <c r="J21">
        <f>_xlfn.STDEV.P(I$7:J$17)</f>
        <v>0.49642024319243838</v>
      </c>
      <c r="K21">
        <f>_xlfn.STDEV.P(K$7:K$17)</f>
        <v>0.48209426052698223</v>
      </c>
      <c r="M21">
        <f>_xlfn.STDEV.P(L$7:M$17)</f>
        <v>4.6928290644449389</v>
      </c>
      <c r="N21">
        <f>_xlfn.STDEV.P(N$7:N$17)</f>
        <v>3.1106322601444183</v>
      </c>
      <c r="P21">
        <f>_xlfn.STDEV.P(O$7:P$17)</f>
        <v>4.0616438067884761</v>
      </c>
      <c r="Q21">
        <f>_xlfn.STDEV.P(Q$7:Q$17)</f>
        <v>3.8438335289587027</v>
      </c>
      <c r="S21">
        <f>_xlfn.STDEV.P(R$7:S$17)</f>
        <v>2.8573524126221002</v>
      </c>
      <c r="T21">
        <f>_xlfn.STDEV.P(T$7:T$17)</f>
        <v>1.465244740226129</v>
      </c>
      <c r="V21">
        <f>_xlfn.STDEV.P(U$7:V$17)</f>
        <v>9.6047594950981487</v>
      </c>
      <c r="W21">
        <f>_xlfn.STDEV.P(W$7:W$17)</f>
        <v>6.1173780371648414</v>
      </c>
      <c r="Y21">
        <f>_xlfn.STDEV.P(X$7:Y$17)</f>
        <v>3.0870296509939288</v>
      </c>
      <c r="Z21">
        <f>_xlfn.STDEV.P(Z$7:Z$17)</f>
        <v>2.0446260948566111</v>
      </c>
    </row>
    <row r="22" spans="1:26">
      <c r="A22" s="18" t="s">
        <v>35</v>
      </c>
      <c r="D22" s="19">
        <f>MIN(C$7:D$17)</f>
        <v>13586</v>
      </c>
      <c r="E22" s="19">
        <f>MIN(E$7:E$17)</f>
        <v>24284</v>
      </c>
      <c r="F22" s="19"/>
      <c r="G22" s="19">
        <f>MIN(F$7:G$17)</f>
        <v>74.599999999999994</v>
      </c>
      <c r="H22" s="19">
        <f>MIN(H$7:H$17)</f>
        <v>75.599999999999994</v>
      </c>
      <c r="J22" s="19">
        <f>MIN(I$7:J$17)</f>
        <v>0.49</v>
      </c>
      <c r="K22" s="19">
        <f>MIN(K$7:K$17)</f>
        <v>0.52</v>
      </c>
      <c r="M22" s="19">
        <f>MIN(L$7:M$17)</f>
        <v>12.4</v>
      </c>
      <c r="N22" s="19">
        <f>MIN(N$7:N$17)</f>
        <v>11.6</v>
      </c>
      <c r="P22" s="19">
        <f>MIN(O$7:P$17)</f>
        <v>3.94</v>
      </c>
      <c r="Q22" s="19">
        <f>MIN(Q$7:Q$17)</f>
        <v>5.48</v>
      </c>
      <c r="S22" s="19">
        <f>MIN(R$7:S$17)</f>
        <v>5.0999999999999996</v>
      </c>
      <c r="T22" s="19">
        <f>MIN(T$7:T$17)</f>
        <v>2.6</v>
      </c>
      <c r="V22" s="19">
        <f>MIN(U$7:V$17)</f>
        <v>13</v>
      </c>
      <c r="W22" s="19">
        <f>MIN(W$7:W$17)</f>
        <v>12</v>
      </c>
      <c r="Y22" s="19">
        <f>MIN(X$7:Y$17)</f>
        <v>3.5</v>
      </c>
      <c r="Z22" s="19">
        <f>MIN(Z$7:Z$17)</f>
        <v>3</v>
      </c>
    </row>
    <row r="23" spans="1:26">
      <c r="A23" s="18" t="s">
        <v>36</v>
      </c>
      <c r="D23" s="19">
        <f>MAX(C$7:D$17)</f>
        <v>24603.599999999999</v>
      </c>
      <c r="E23" s="19">
        <f>MAX(E$7:E$17)</f>
        <v>35052.199999999997</v>
      </c>
      <c r="F23" s="19"/>
      <c r="G23" s="19">
        <f>MAX(F$7:G$17)</f>
        <v>80.900000000000006</v>
      </c>
      <c r="H23" s="19">
        <f>MAX(H$7:H$17)</f>
        <v>82</v>
      </c>
      <c r="J23" s="19">
        <f>MAX(I$7:J$17)</f>
        <v>2.2200000000000002</v>
      </c>
      <c r="K23" s="19">
        <f>MAX(K$7:K$17)</f>
        <v>2.13</v>
      </c>
      <c r="M23" s="19">
        <f>MAX(L$7:M$17)</f>
        <v>29.4</v>
      </c>
      <c r="N23" s="19">
        <f>MAX(N$7:N$17)</f>
        <v>22.3</v>
      </c>
      <c r="P23" s="19">
        <f>MAX(O$7:P$17)</f>
        <v>16.28</v>
      </c>
      <c r="Q23" s="19">
        <f>MAX(Q$7:Q$17)</f>
        <v>19.190000000000001</v>
      </c>
      <c r="S23" s="19">
        <f>MAX(R$7:S$17)</f>
        <v>16.2</v>
      </c>
      <c r="T23" s="19">
        <f>MAX(T$7:T$17)</f>
        <v>6.9</v>
      </c>
      <c r="V23" s="19">
        <f>MAX(U$7:V$17)</f>
        <v>44.5</v>
      </c>
      <c r="W23" s="19">
        <f>MAX(W$7:W$17)</f>
        <v>32</v>
      </c>
      <c r="Y23" s="19">
        <f>MAX(X$7:Y$17)</f>
        <v>14.2</v>
      </c>
      <c r="Z23" s="19">
        <f>MAX(Z$7:Z$17)</f>
        <v>9.5</v>
      </c>
    </row>
    <row r="24" spans="1:26">
      <c r="A24" s="18" t="s">
        <v>37</v>
      </c>
      <c r="D24" s="19">
        <f>D23-D22</f>
        <v>11017.599999999999</v>
      </c>
      <c r="E24" s="19">
        <f>E23-E22</f>
        <v>10768.199999999997</v>
      </c>
      <c r="F24" s="19"/>
      <c r="G24" s="19">
        <f>G23-G22</f>
        <v>6.3000000000000114</v>
      </c>
      <c r="H24" s="19">
        <f>H23-H22</f>
        <v>6.4000000000000057</v>
      </c>
      <c r="J24" s="19">
        <f>J23-J22</f>
        <v>1.7300000000000002</v>
      </c>
      <c r="K24" s="19">
        <f>K23-K22</f>
        <v>1.6099999999999999</v>
      </c>
      <c r="M24" s="19">
        <f>M23-M22</f>
        <v>17</v>
      </c>
      <c r="N24" s="19">
        <f>N23-N22</f>
        <v>10.700000000000001</v>
      </c>
      <c r="P24" s="19">
        <f>P23-P22</f>
        <v>12.340000000000002</v>
      </c>
      <c r="Q24" s="19">
        <f>Q23-Q22</f>
        <v>13.71</v>
      </c>
      <c r="S24" s="19">
        <f>S23-S22</f>
        <v>11.1</v>
      </c>
      <c r="T24" s="19">
        <f>T23-T22</f>
        <v>4.3000000000000007</v>
      </c>
      <c r="V24" s="19">
        <f>V23-V22</f>
        <v>31.5</v>
      </c>
      <c r="W24" s="19">
        <f>W23-W22</f>
        <v>20</v>
      </c>
      <c r="Y24" s="19">
        <f>Y23-Y22</f>
        <v>10.7</v>
      </c>
      <c r="Z24" s="19">
        <f>Z23-Z22</f>
        <v>6.5</v>
      </c>
    </row>
    <row r="25" spans="1:26">
      <c r="A25" s="18" t="s">
        <v>38</v>
      </c>
      <c r="D25">
        <f>(D21/D20)*100</f>
        <v>16.018081406300986</v>
      </c>
      <c r="E25">
        <f>(E21/E20)*100</f>
        <v>10.681330566569548</v>
      </c>
      <c r="G25">
        <f>(G21/G20)*100</f>
        <v>2.5119601155493934</v>
      </c>
      <c r="H25">
        <f>(H21/H20)*100</f>
        <v>2.3307700541950611</v>
      </c>
      <c r="J25">
        <f>(J21/J20)*100</f>
        <v>42.004789808590935</v>
      </c>
      <c r="K25">
        <f>(K21/K20)*100</f>
        <v>37.03238034774305</v>
      </c>
      <c r="M25">
        <f t="shared" ref="M25:N25" si="0">(M21/M20)*100</f>
        <v>25.656620133645298</v>
      </c>
      <c r="N25">
        <f t="shared" si="0"/>
        <v>19.664916587119883</v>
      </c>
      <c r="P25">
        <f t="shared" ref="P25:Q25" si="1">(P21/P20)*100</f>
        <v>43.690672672279725</v>
      </c>
      <c r="Q25">
        <f t="shared" si="1"/>
        <v>39.986919631686909</v>
      </c>
      <c r="S25">
        <f t="shared" ref="S25:T25" si="2">(S21/S20)*100</f>
        <v>31.430876538843101</v>
      </c>
      <c r="T25">
        <f t="shared" si="2"/>
        <v>29.411846975342009</v>
      </c>
      <c r="V25">
        <f t="shared" ref="V25:W25" si="3">(V21/V20)*100</f>
        <v>35.657223910253002</v>
      </c>
      <c r="W25">
        <f t="shared" si="3"/>
        <v>28.501125967307605</v>
      </c>
      <c r="Y25">
        <f t="shared" ref="Y25:Z25" si="4">(Y21/Y20)*100</f>
        <v>42.02639376353121</v>
      </c>
      <c r="Z25">
        <f t="shared" si="4"/>
        <v>32.78554962598065</v>
      </c>
    </row>
    <row r="26" spans="1:26">
      <c r="B26" s="20" t="s">
        <v>39</v>
      </c>
    </row>
    <row r="28" spans="1:26">
      <c r="B28" s="20" t="s">
        <v>40</v>
      </c>
    </row>
    <row r="30" spans="1:26" ht="15.75" thickBot="1">
      <c r="C30" s="197" t="s">
        <v>1</v>
      </c>
      <c r="D30" s="197"/>
      <c r="E30" s="197"/>
      <c r="F30" s="197" t="s">
        <v>1</v>
      </c>
      <c r="G30" s="197"/>
      <c r="H30" s="197"/>
      <c r="I30" s="197" t="s">
        <v>1</v>
      </c>
      <c r="J30" s="197"/>
      <c r="K30" s="197"/>
      <c r="L30" s="197" t="s">
        <v>1</v>
      </c>
      <c r="M30" s="197"/>
      <c r="N30" s="197"/>
      <c r="O30" s="197" t="s">
        <v>1</v>
      </c>
      <c r="P30" s="197"/>
      <c r="Q30" s="197"/>
      <c r="R30" s="197" t="s">
        <v>1</v>
      </c>
      <c r="S30" s="197"/>
      <c r="T30" s="197"/>
      <c r="U30" s="197" t="s">
        <v>1</v>
      </c>
      <c r="V30" s="197"/>
      <c r="W30" s="197"/>
      <c r="X30" s="197" t="s">
        <v>1</v>
      </c>
      <c r="Y30" s="197"/>
      <c r="Z30" s="197"/>
    </row>
    <row r="31" spans="1:26" ht="15.75" customHeight="1" thickTop="1">
      <c r="B31" s="4"/>
      <c r="C31" s="173" t="s">
        <v>3</v>
      </c>
      <c r="D31" s="174"/>
      <c r="E31" s="175"/>
      <c r="F31" s="173" t="s">
        <v>4</v>
      </c>
      <c r="G31" s="174"/>
      <c r="H31" s="175"/>
      <c r="I31" s="173" t="s">
        <v>5</v>
      </c>
      <c r="J31" s="174"/>
      <c r="K31" s="175"/>
      <c r="L31" s="173" t="s">
        <v>6</v>
      </c>
      <c r="M31" s="174"/>
      <c r="N31" s="175"/>
      <c r="O31" s="173" t="s">
        <v>7</v>
      </c>
      <c r="P31" s="174"/>
      <c r="Q31" s="175"/>
      <c r="R31" s="173" t="s">
        <v>8</v>
      </c>
      <c r="S31" s="174"/>
      <c r="T31" s="175"/>
      <c r="U31" s="173" t="s">
        <v>9</v>
      </c>
      <c r="V31" s="174"/>
      <c r="W31" s="175"/>
      <c r="X31" s="214" t="s">
        <v>10</v>
      </c>
      <c r="Y31" s="215"/>
      <c r="Z31" s="216"/>
    </row>
    <row r="32" spans="1:26">
      <c r="B32" s="5"/>
      <c r="C32" s="176"/>
      <c r="D32" s="177"/>
      <c r="E32" s="178"/>
      <c r="F32" s="176"/>
      <c r="G32" s="177"/>
      <c r="H32" s="178"/>
      <c r="I32" s="176"/>
      <c r="J32" s="177"/>
      <c r="K32" s="178"/>
      <c r="L32" s="176"/>
      <c r="M32" s="177"/>
      <c r="N32" s="178"/>
      <c r="O32" s="176"/>
      <c r="P32" s="177"/>
      <c r="Q32" s="178"/>
      <c r="R32" s="176"/>
      <c r="S32" s="177"/>
      <c r="T32" s="178"/>
      <c r="U32" s="176"/>
      <c r="V32" s="177"/>
      <c r="W32" s="178"/>
      <c r="X32" s="217"/>
      <c r="Y32" s="218"/>
      <c r="Z32" s="219"/>
    </row>
    <row r="33" spans="1:26" ht="15.75" thickBot="1">
      <c r="B33" s="6"/>
      <c r="C33" s="198">
        <v>2015</v>
      </c>
      <c r="D33" s="199"/>
      <c r="E33" s="7">
        <v>2023</v>
      </c>
      <c r="F33" s="198">
        <v>2015</v>
      </c>
      <c r="G33" s="199"/>
      <c r="H33" s="7">
        <v>2023</v>
      </c>
      <c r="I33" s="198">
        <v>2015</v>
      </c>
      <c r="J33" s="199"/>
      <c r="K33" s="7">
        <v>2023</v>
      </c>
      <c r="L33" s="198">
        <v>2015</v>
      </c>
      <c r="M33" s="199"/>
      <c r="N33" s="7">
        <v>2023</v>
      </c>
      <c r="O33" s="198">
        <v>2015</v>
      </c>
      <c r="P33" s="199"/>
      <c r="Q33" s="7">
        <v>2023</v>
      </c>
      <c r="R33" s="198">
        <v>2015</v>
      </c>
      <c r="S33" s="199"/>
      <c r="T33" s="7">
        <v>2023</v>
      </c>
      <c r="U33" s="198">
        <v>2015</v>
      </c>
      <c r="V33" s="199"/>
      <c r="W33" s="7">
        <v>2023</v>
      </c>
      <c r="X33" s="198">
        <v>2015</v>
      </c>
      <c r="Y33" s="199"/>
      <c r="Z33" s="7">
        <v>2023</v>
      </c>
    </row>
    <row r="34" spans="1:26" ht="16.5" thickTop="1">
      <c r="B34" s="1" t="s">
        <v>11</v>
      </c>
      <c r="C34" s="200">
        <v>13586</v>
      </c>
      <c r="D34" s="201"/>
      <c r="E34" s="10">
        <v>24284</v>
      </c>
      <c r="F34" s="200">
        <v>74.7</v>
      </c>
      <c r="G34" s="201"/>
      <c r="H34" s="10">
        <v>75.8</v>
      </c>
      <c r="I34" s="200">
        <v>0.95</v>
      </c>
      <c r="J34" s="201"/>
      <c r="K34" s="10">
        <v>0.79</v>
      </c>
      <c r="L34" s="200">
        <v>22.2</v>
      </c>
      <c r="M34" s="201"/>
      <c r="N34" s="10">
        <v>18.7</v>
      </c>
      <c r="O34" s="200">
        <v>3.94</v>
      </c>
      <c r="P34" s="201"/>
      <c r="Q34" s="10">
        <v>5.48</v>
      </c>
      <c r="R34" s="200">
        <f>$S$23-R7</f>
        <v>6.1</v>
      </c>
      <c r="S34" s="201"/>
      <c r="T34" s="21">
        <f>$T$23-T7</f>
        <v>2.6000000000000005</v>
      </c>
      <c r="U34" s="200">
        <f>$V$23-U7</f>
        <v>1.2000000000000028</v>
      </c>
      <c r="V34" s="201"/>
      <c r="W34" s="21">
        <f>$W$23-W7</f>
        <v>2</v>
      </c>
      <c r="X34" s="200">
        <f>$Y$23-X7</f>
        <v>6.6</v>
      </c>
      <c r="Y34" s="201"/>
      <c r="Z34" s="21">
        <f>$Z$23-Z7</f>
        <v>3.8</v>
      </c>
    </row>
    <row r="35" spans="1:26">
      <c r="B35" s="2" t="s">
        <v>12</v>
      </c>
      <c r="C35" s="204">
        <v>17084.599999999999</v>
      </c>
      <c r="D35" s="205"/>
      <c r="E35" s="10">
        <v>30029.1</v>
      </c>
      <c r="F35" s="204">
        <v>77.5</v>
      </c>
      <c r="G35" s="205"/>
      <c r="H35" s="10">
        <v>78.599999999999994</v>
      </c>
      <c r="I35" s="204">
        <v>0.82</v>
      </c>
      <c r="J35" s="205"/>
      <c r="K35" s="10">
        <v>1.39</v>
      </c>
      <c r="L35" s="204">
        <v>20.399999999999999</v>
      </c>
      <c r="M35" s="205"/>
      <c r="N35" s="10">
        <v>15.2</v>
      </c>
      <c r="O35" s="204">
        <v>6.57</v>
      </c>
      <c r="P35" s="205"/>
      <c r="Q35" s="10">
        <v>6.85</v>
      </c>
      <c r="R35" s="204">
        <f t="shared" ref="R35:R43" si="5">$S$23-R8</f>
        <v>0</v>
      </c>
      <c r="S35" s="205"/>
      <c r="T35" s="10">
        <f t="shared" ref="T35:T42" si="6">$T$23-T8</f>
        <v>0.80000000000000071</v>
      </c>
      <c r="U35" s="204">
        <f t="shared" ref="U35:U43" si="7">$V$23-U8</f>
        <v>20.100000000000001</v>
      </c>
      <c r="V35" s="205"/>
      <c r="W35" s="10">
        <f t="shared" ref="W35:W43" si="8">$W$23-W8</f>
        <v>11.3</v>
      </c>
      <c r="X35" s="204">
        <f t="shared" ref="X35:X43" si="9">$Y$23-X8</f>
        <v>9.6</v>
      </c>
      <c r="Y35" s="205"/>
      <c r="Z35" s="10">
        <f t="shared" ref="Z35:Z43" si="10">$Z$23-Z8</f>
        <v>4.3</v>
      </c>
    </row>
    <row r="36" spans="1:26">
      <c r="B36" s="2" t="s">
        <v>13</v>
      </c>
      <c r="C36" s="204">
        <v>24603.599999999999</v>
      </c>
      <c r="D36" s="205"/>
      <c r="E36" s="10">
        <v>34664.5</v>
      </c>
      <c r="F36" s="204">
        <v>78.7</v>
      </c>
      <c r="G36" s="205"/>
      <c r="H36" s="10">
        <v>79.900000000000006</v>
      </c>
      <c r="I36" s="204">
        <v>1.91</v>
      </c>
      <c r="J36" s="205"/>
      <c r="K36" s="10">
        <v>1.82</v>
      </c>
      <c r="L36" s="204">
        <v>12.4</v>
      </c>
      <c r="M36" s="205"/>
      <c r="N36" s="10">
        <v>13.4</v>
      </c>
      <c r="O36" s="204">
        <v>15.3</v>
      </c>
      <c r="P36" s="205"/>
      <c r="Q36" s="10">
        <v>19.190000000000001</v>
      </c>
      <c r="R36" s="204">
        <f t="shared" si="5"/>
        <v>11.1</v>
      </c>
      <c r="S36" s="205"/>
      <c r="T36" s="10">
        <f t="shared" si="6"/>
        <v>4.3000000000000007</v>
      </c>
      <c r="U36" s="204">
        <f t="shared" si="7"/>
        <v>31.5</v>
      </c>
      <c r="V36" s="205"/>
      <c r="W36" s="10">
        <f t="shared" si="8"/>
        <v>20</v>
      </c>
      <c r="X36" s="204">
        <f t="shared" si="9"/>
        <v>3</v>
      </c>
      <c r="Y36" s="205"/>
      <c r="Z36" s="10">
        <f t="shared" si="10"/>
        <v>0.40000000000000036</v>
      </c>
    </row>
    <row r="37" spans="1:26">
      <c r="B37" s="2" t="s">
        <v>15</v>
      </c>
      <c r="C37" s="204">
        <v>21398.400000000001</v>
      </c>
      <c r="D37" s="205"/>
      <c r="E37" s="10">
        <v>30583.4</v>
      </c>
      <c r="F37" s="204">
        <v>78</v>
      </c>
      <c r="G37" s="205"/>
      <c r="H37" s="10">
        <v>79.099999999999994</v>
      </c>
      <c r="I37" s="204">
        <v>1.44</v>
      </c>
      <c r="J37" s="205"/>
      <c r="K37" s="10">
        <v>1.83</v>
      </c>
      <c r="L37" s="204">
        <v>18.3</v>
      </c>
      <c r="M37" s="205"/>
      <c r="N37" s="10">
        <v>17.5</v>
      </c>
      <c r="O37" s="204">
        <v>16.28</v>
      </c>
      <c r="P37" s="205"/>
      <c r="Q37" s="10">
        <v>10.79</v>
      </c>
      <c r="R37" s="204">
        <f t="shared" si="5"/>
        <v>9.7999999999999989</v>
      </c>
      <c r="S37" s="205"/>
      <c r="T37" s="10">
        <f t="shared" si="6"/>
        <v>0.5</v>
      </c>
      <c r="U37" s="204">
        <f t="shared" si="7"/>
        <v>20.9</v>
      </c>
      <c r="V37" s="205"/>
      <c r="W37" s="10">
        <f t="shared" si="8"/>
        <v>7.8000000000000007</v>
      </c>
      <c r="X37" s="204">
        <f t="shared" si="9"/>
        <v>0</v>
      </c>
      <c r="Y37" s="205"/>
      <c r="Z37" s="10">
        <f t="shared" si="10"/>
        <v>0</v>
      </c>
    </row>
    <row r="38" spans="1:26">
      <c r="B38" s="2" t="s">
        <v>16</v>
      </c>
      <c r="C38" s="204">
        <v>20741.2</v>
      </c>
      <c r="D38" s="205"/>
      <c r="E38" s="10">
        <v>33263.800000000003</v>
      </c>
      <c r="F38" s="204">
        <v>74.599999999999994</v>
      </c>
      <c r="G38" s="205"/>
      <c r="H38" s="10">
        <v>77.599999999999994</v>
      </c>
      <c r="I38" s="204">
        <v>0.64</v>
      </c>
      <c r="J38" s="205"/>
      <c r="K38" s="10">
        <v>0.82</v>
      </c>
      <c r="L38" s="204">
        <v>13.8</v>
      </c>
      <c r="M38" s="205"/>
      <c r="N38" s="10">
        <v>11.6</v>
      </c>
      <c r="O38" s="204">
        <v>6.55</v>
      </c>
      <c r="P38" s="205"/>
      <c r="Q38" s="10">
        <v>7.79</v>
      </c>
      <c r="R38" s="204">
        <f>$S$23-R11</f>
        <v>7.1</v>
      </c>
      <c r="S38" s="205"/>
      <c r="T38" s="10">
        <f>$T$23-T11</f>
        <v>0</v>
      </c>
      <c r="U38" s="204">
        <f>$V$23-U11</f>
        <v>15.100000000000001</v>
      </c>
      <c r="V38" s="205"/>
      <c r="W38" s="10">
        <f t="shared" si="8"/>
        <v>7.6999999999999993</v>
      </c>
      <c r="X38" s="204">
        <f t="shared" si="9"/>
        <v>10</v>
      </c>
      <c r="Y38" s="205"/>
      <c r="Z38" s="10">
        <f t="shared" si="10"/>
        <v>5.0999999999999996</v>
      </c>
    </row>
    <row r="39" spans="1:26">
      <c r="B39" s="2" t="s">
        <v>17</v>
      </c>
      <c r="C39" s="204">
        <v>17354</v>
      </c>
      <c r="D39" s="205"/>
      <c r="E39" s="10">
        <v>27195.5</v>
      </c>
      <c r="F39" s="204">
        <v>74.8</v>
      </c>
      <c r="G39" s="205"/>
      <c r="H39" s="10">
        <v>75.599999999999994</v>
      </c>
      <c r="I39" s="204">
        <v>1.04</v>
      </c>
      <c r="J39" s="205"/>
      <c r="K39" s="10">
        <v>1.05</v>
      </c>
      <c r="L39" s="204">
        <v>15.6</v>
      </c>
      <c r="M39" s="205"/>
      <c r="N39" s="10">
        <v>16</v>
      </c>
      <c r="O39" s="204">
        <v>9.5299999999999994</v>
      </c>
      <c r="P39" s="205"/>
      <c r="Q39" s="10">
        <v>8.6999999999999993</v>
      </c>
      <c r="R39" s="204">
        <f t="shared" si="5"/>
        <v>6.2999999999999989</v>
      </c>
      <c r="S39" s="205"/>
      <c r="T39" s="10">
        <f t="shared" si="6"/>
        <v>0.40000000000000036</v>
      </c>
      <c r="U39" s="204">
        <f t="shared" si="7"/>
        <v>14.5</v>
      </c>
      <c r="V39" s="205"/>
      <c r="W39" s="10">
        <f t="shared" si="8"/>
        <v>6.3999999999999986</v>
      </c>
      <c r="X39" s="204">
        <f t="shared" si="9"/>
        <v>8.6</v>
      </c>
      <c r="Y39" s="205"/>
      <c r="Z39" s="10">
        <f t="shared" si="10"/>
        <v>1.7000000000000002</v>
      </c>
    </row>
    <row r="40" spans="1:26">
      <c r="B40" s="2" t="s">
        <v>18</v>
      </c>
      <c r="C40" s="204">
        <v>19368.900000000001</v>
      </c>
      <c r="D40" s="205"/>
      <c r="E40" s="10">
        <v>29323</v>
      </c>
      <c r="F40" s="204">
        <v>75.7</v>
      </c>
      <c r="G40" s="205"/>
      <c r="H40" s="10">
        <v>76.7</v>
      </c>
      <c r="I40" s="204">
        <v>1.34</v>
      </c>
      <c r="J40" s="205"/>
      <c r="K40" s="10">
        <v>1.38</v>
      </c>
      <c r="L40" s="204">
        <v>21.9</v>
      </c>
      <c r="M40" s="205"/>
      <c r="N40" s="10">
        <v>18.100000000000001</v>
      </c>
      <c r="O40" s="204">
        <v>14.48</v>
      </c>
      <c r="P40" s="205"/>
      <c r="Q40" s="10">
        <v>14.77</v>
      </c>
      <c r="R40" s="204">
        <f>$S$23-R13</f>
        <v>9.6</v>
      </c>
      <c r="S40" s="205"/>
      <c r="T40" s="10">
        <f t="shared" si="6"/>
        <v>2.8000000000000007</v>
      </c>
      <c r="U40" s="204">
        <f t="shared" si="7"/>
        <v>13.899999999999999</v>
      </c>
      <c r="V40" s="205"/>
      <c r="W40" s="10">
        <f t="shared" si="8"/>
        <v>12.3</v>
      </c>
      <c r="X40" s="204">
        <f t="shared" si="9"/>
        <v>8.3999999999999986</v>
      </c>
      <c r="Y40" s="205"/>
      <c r="Z40" s="10">
        <f t="shared" si="10"/>
        <v>4.4000000000000004</v>
      </c>
    </row>
    <row r="41" spans="1:26">
      <c r="B41" s="2" t="s">
        <v>19</v>
      </c>
      <c r="C41" s="204">
        <v>19407.599999999999</v>
      </c>
      <c r="D41" s="205"/>
      <c r="E41" s="10">
        <v>29572.1</v>
      </c>
      <c r="F41" s="204">
        <v>77.5</v>
      </c>
      <c r="G41" s="205"/>
      <c r="H41" s="10">
        <v>78.400000000000006</v>
      </c>
      <c r="I41" s="204">
        <v>1</v>
      </c>
      <c r="J41" s="205"/>
      <c r="K41" s="10">
        <v>1.56</v>
      </c>
      <c r="L41" s="204">
        <v>15.2</v>
      </c>
      <c r="M41" s="205"/>
      <c r="N41" s="10">
        <v>12</v>
      </c>
      <c r="O41" s="204">
        <v>7.92</v>
      </c>
      <c r="P41" s="205"/>
      <c r="Q41" s="10">
        <v>9.14</v>
      </c>
      <c r="R41" s="204">
        <f t="shared" si="5"/>
        <v>8.5</v>
      </c>
      <c r="S41" s="205"/>
      <c r="T41" s="10">
        <f t="shared" si="6"/>
        <v>4.1000000000000005</v>
      </c>
      <c r="U41" s="204">
        <f t="shared" si="7"/>
        <v>22</v>
      </c>
      <c r="V41" s="205"/>
      <c r="W41" s="10">
        <f t="shared" si="8"/>
        <v>15.7</v>
      </c>
      <c r="X41" s="204">
        <f t="shared" si="9"/>
        <v>5</v>
      </c>
      <c r="Y41" s="205"/>
      <c r="Z41" s="10">
        <f t="shared" si="10"/>
        <v>0.90000000000000036</v>
      </c>
    </row>
    <row r="42" spans="1:26">
      <c r="B42" s="2" t="s">
        <v>20</v>
      </c>
      <c r="C42" s="204">
        <v>15543.4</v>
      </c>
      <c r="D42" s="205"/>
      <c r="E42" s="10">
        <v>29431.7</v>
      </c>
      <c r="F42" s="204">
        <v>74.900000000000006</v>
      </c>
      <c r="G42" s="205"/>
      <c r="H42" s="10">
        <v>76.400000000000006</v>
      </c>
      <c r="I42" s="204">
        <v>0.49</v>
      </c>
      <c r="J42" s="205"/>
      <c r="K42" s="10">
        <v>0.52</v>
      </c>
      <c r="L42" s="204">
        <v>29.4</v>
      </c>
      <c r="M42" s="205"/>
      <c r="N42" s="10">
        <v>22.3</v>
      </c>
      <c r="O42" s="204">
        <v>6.43</v>
      </c>
      <c r="P42" s="205"/>
      <c r="Q42" s="10">
        <v>8.89</v>
      </c>
      <c r="R42" s="204">
        <f t="shared" si="5"/>
        <v>7.7999999999999989</v>
      </c>
      <c r="S42" s="205"/>
      <c r="T42" s="10">
        <f t="shared" si="6"/>
        <v>1.3000000000000007</v>
      </c>
      <c r="U42" s="204">
        <f t="shared" si="7"/>
        <v>0</v>
      </c>
      <c r="V42" s="205"/>
      <c r="W42" s="10">
        <f t="shared" si="8"/>
        <v>0</v>
      </c>
      <c r="X42" s="204">
        <f t="shared" si="9"/>
        <v>10.7</v>
      </c>
      <c r="Y42" s="205"/>
      <c r="Z42" s="10">
        <f t="shared" si="10"/>
        <v>6.5</v>
      </c>
    </row>
    <row r="43" spans="1:26">
      <c r="B43" s="2" t="s">
        <v>21</v>
      </c>
      <c r="C43" s="204">
        <v>21683</v>
      </c>
      <c r="D43" s="205"/>
      <c r="E43" s="10">
        <v>35052.199999999997</v>
      </c>
      <c r="F43" s="204">
        <v>76.7</v>
      </c>
      <c r="G43" s="205"/>
      <c r="H43" s="10">
        <v>78.2</v>
      </c>
      <c r="I43" s="204">
        <v>1.1499999999999999</v>
      </c>
      <c r="J43" s="205"/>
      <c r="K43" s="10">
        <v>1.03</v>
      </c>
      <c r="L43" s="204">
        <v>14.6</v>
      </c>
      <c r="M43" s="205"/>
      <c r="N43" s="10">
        <v>12.8</v>
      </c>
      <c r="O43" s="204">
        <v>5.35</v>
      </c>
      <c r="P43" s="205"/>
      <c r="Q43" s="10">
        <v>6.7</v>
      </c>
      <c r="R43" s="204">
        <f t="shared" si="5"/>
        <v>7.1999999999999993</v>
      </c>
      <c r="S43" s="205"/>
      <c r="T43" s="10">
        <f>$T$23-T16</f>
        <v>3.2</v>
      </c>
      <c r="U43" s="204">
        <f t="shared" si="7"/>
        <v>27.2</v>
      </c>
      <c r="V43" s="205"/>
      <c r="W43" s="10">
        <f t="shared" si="8"/>
        <v>14.399999999999999</v>
      </c>
      <c r="X43" s="204">
        <f t="shared" si="9"/>
        <v>7.6999999999999993</v>
      </c>
      <c r="Y43" s="205"/>
      <c r="Z43" s="10">
        <f t="shared" si="10"/>
        <v>4.3</v>
      </c>
    </row>
    <row r="44" spans="1:26" ht="15.75" thickBot="1">
      <c r="B44" s="3" t="s">
        <v>22</v>
      </c>
      <c r="C44" s="211">
        <v>22534.1</v>
      </c>
      <c r="D44" s="210"/>
      <c r="E44" s="13">
        <v>35052.199999999997</v>
      </c>
      <c r="F44" s="211">
        <v>80.900000000000006</v>
      </c>
      <c r="G44" s="210"/>
      <c r="H44" s="13">
        <v>82</v>
      </c>
      <c r="I44" s="211">
        <v>2.2200000000000002</v>
      </c>
      <c r="J44" s="210"/>
      <c r="K44" s="13">
        <v>2.13</v>
      </c>
      <c r="L44" s="211">
        <v>17.399999999999999</v>
      </c>
      <c r="M44" s="210"/>
      <c r="N44" s="13">
        <v>16.399999999999999</v>
      </c>
      <c r="O44" s="211">
        <v>9.91</v>
      </c>
      <c r="P44" s="210"/>
      <c r="Q44" s="13">
        <v>7.44</v>
      </c>
      <c r="R44" s="211">
        <f>$S$23-R17</f>
        <v>4.6999999999999993</v>
      </c>
      <c r="S44" s="210"/>
      <c r="T44" s="13">
        <f>$T$23-T17</f>
        <v>1.1000000000000005</v>
      </c>
      <c r="U44" s="211">
        <f>$V$23-U17</f>
        <v>26.8</v>
      </c>
      <c r="V44" s="210"/>
      <c r="W44" s="13">
        <f>$W$23-W17</f>
        <v>18.3</v>
      </c>
      <c r="X44" s="211">
        <f>$Y$23-X17</f>
        <v>5.7999999999999989</v>
      </c>
      <c r="Y44" s="210"/>
      <c r="Z44" s="13">
        <f>$Z$23-Z17</f>
        <v>4.5</v>
      </c>
    </row>
    <row r="45" spans="1:26" ht="15.75" thickTop="1"/>
    <row r="48" spans="1:26">
      <c r="A48" s="18" t="s">
        <v>33</v>
      </c>
      <c r="D48" s="19">
        <f>AVERAGE(C34:D44)</f>
        <v>19391.345454545455</v>
      </c>
      <c r="E48" s="19">
        <f>AVERAGE(E34:E44)</f>
        <v>30768.31818181818</v>
      </c>
      <c r="G48" s="19">
        <f>AVERAGE(F34:G44)</f>
        <v>76.727272727272734</v>
      </c>
      <c r="H48" s="19">
        <f>AVERAGE(H34:H44)</f>
        <v>78.027272727272731</v>
      </c>
      <c r="J48" s="19">
        <f>AVERAGE(I34:J44)</f>
        <v>1.1818181818181819</v>
      </c>
      <c r="K48" s="19">
        <f>AVERAGE(K34:K44)</f>
        <v>1.3018181818181818</v>
      </c>
      <c r="M48" s="19">
        <f>AVERAGE(L34:M44)</f>
        <v>18.290909090909089</v>
      </c>
      <c r="N48" s="19">
        <f>AVERAGE(N34:N44)</f>
        <v>15.81818181818182</v>
      </c>
      <c r="P48" s="19">
        <f>AVERAGE(O34:P44)</f>
        <v>9.2963636363636351</v>
      </c>
      <c r="Q48" s="19">
        <f>AVERAGE(Q34:Q44)</f>
        <v>9.6127272727272715</v>
      </c>
      <c r="S48" s="19">
        <f>AVERAGE(R34:S44)</f>
        <v>7.1090909090909093</v>
      </c>
      <c r="T48" s="19">
        <f>AVERAGE(T34:T44)</f>
        <v>1.9181818181818187</v>
      </c>
      <c r="V48" s="19">
        <f>AVERAGE(U34:V44)</f>
        <v>17.563636363636366</v>
      </c>
      <c r="W48" s="19">
        <f>AVERAGE(W34:W44)</f>
        <v>10.536363636363635</v>
      </c>
      <c r="Y48" s="19">
        <f>AVERAGE(X34:Y44)</f>
        <v>6.8545454545454536</v>
      </c>
      <c r="Z48" s="19">
        <f>AVERAGE(Z34:Z44)</f>
        <v>3.2636363636363641</v>
      </c>
    </row>
    <row r="49" spans="1:26">
      <c r="A49" s="18" t="s">
        <v>34</v>
      </c>
      <c r="D49">
        <f>_xlfn.STDEV.P(C34:D44)</f>
        <v>3106.1215006861376</v>
      </c>
      <c r="E49">
        <f>_xlfn.STDEV.P(E34:E44)</f>
        <v>3286.4657747739211</v>
      </c>
      <c r="G49">
        <f>_xlfn.STDEV.P(F34:G44)</f>
        <v>1.9273584886578983</v>
      </c>
      <c r="H49">
        <f>_xlfn.STDEV.P(H34:H44)</f>
        <v>1.8186363068323828</v>
      </c>
      <c r="J49">
        <f>_xlfn.STDEV.P(I34:J44)</f>
        <v>0.49642024319243838</v>
      </c>
      <c r="K49">
        <f>_xlfn.STDEV.P(K34:K44)</f>
        <v>0.48209426052698223</v>
      </c>
      <c r="M49">
        <f>_xlfn.STDEV.P(L34:M44)</f>
        <v>4.6928290644449389</v>
      </c>
      <c r="N49">
        <f>_xlfn.STDEV.P(N34:N44)</f>
        <v>3.1106322601444183</v>
      </c>
      <c r="P49">
        <f>_xlfn.STDEV.P(O34:P44)</f>
        <v>4.0616438067884761</v>
      </c>
      <c r="Q49">
        <f>_xlfn.STDEV.P(Q34:Q44)</f>
        <v>3.8438335289587027</v>
      </c>
      <c r="S49">
        <f>_xlfn.STDEV.P(R34:S44)</f>
        <v>2.8573524126221042</v>
      </c>
      <c r="T49">
        <f>_xlfn.STDEV.P(T34:T44)</f>
        <v>1.4652447402261275</v>
      </c>
      <c r="V49">
        <f>_xlfn.STDEV.P(U34:V44)</f>
        <v>9.6047594950981257</v>
      </c>
      <c r="W49">
        <f>_xlfn.STDEV.P(W34:W44)</f>
        <v>6.1173780371648441</v>
      </c>
      <c r="Y49">
        <f>_xlfn.STDEV.P(X34:Y44)</f>
        <v>3.0870296509939301</v>
      </c>
      <c r="Z49">
        <f>_xlfn.STDEV.P(Z34:Z44)</f>
        <v>2.0446260948566102</v>
      </c>
    </row>
    <row r="50" spans="1:26">
      <c r="A50" s="18" t="s">
        <v>35</v>
      </c>
      <c r="D50" s="19">
        <f>MIN(C34:D44)</f>
        <v>13586</v>
      </c>
      <c r="E50" s="19">
        <f>MIN(E34:E44)</f>
        <v>24284</v>
      </c>
      <c r="G50" s="19">
        <f>MIN(F34:G44)</f>
        <v>74.599999999999994</v>
      </c>
      <c r="H50" s="19">
        <f>MIN(H34:H44)</f>
        <v>75.599999999999994</v>
      </c>
      <c r="J50" s="19">
        <f>MIN(I34:J44)</f>
        <v>0.49</v>
      </c>
      <c r="K50" s="19">
        <f>MIN(K34:K44)</f>
        <v>0.52</v>
      </c>
      <c r="M50" s="19">
        <f>MIN(L34:M44)</f>
        <v>12.4</v>
      </c>
      <c r="N50" s="19">
        <f>MIN(N34:N44)</f>
        <v>11.6</v>
      </c>
      <c r="P50" s="19">
        <f>MIN(O34:P44)</f>
        <v>3.94</v>
      </c>
      <c r="Q50" s="19">
        <f>MIN(Q34:Q44)</f>
        <v>5.48</v>
      </c>
      <c r="S50" s="19">
        <f>MIN(R34:S44)</f>
        <v>0</v>
      </c>
      <c r="T50" s="19">
        <f>MIN(T34:T44)</f>
        <v>0</v>
      </c>
      <c r="V50" s="19">
        <f>MIN(U34:V44)</f>
        <v>0</v>
      </c>
      <c r="W50" s="19">
        <f>MIN(W34:W44)</f>
        <v>0</v>
      </c>
      <c r="Y50" s="19">
        <f>MIN(X34:Y44)</f>
        <v>0</v>
      </c>
      <c r="Z50" s="19">
        <f>MIN(Z34:Z44)</f>
        <v>0</v>
      </c>
    </row>
    <row r="51" spans="1:26">
      <c r="A51" s="18" t="s">
        <v>36</v>
      </c>
      <c r="D51" s="19">
        <f>MAX(C34:D44)</f>
        <v>24603.599999999999</v>
      </c>
      <c r="E51" s="19">
        <f>MAX(E34:E44)</f>
        <v>35052.199999999997</v>
      </c>
      <c r="G51" s="19">
        <f>MAX(F34:G44)</f>
        <v>80.900000000000006</v>
      </c>
      <c r="H51" s="19">
        <f>MAX(H34:H44)</f>
        <v>82</v>
      </c>
      <c r="J51" s="19">
        <f>MAX(I34:J44)</f>
        <v>2.2200000000000002</v>
      </c>
      <c r="K51" s="19">
        <f>MAX(K34:K44)</f>
        <v>2.13</v>
      </c>
      <c r="M51" s="19">
        <f>MAX(L34:M44)</f>
        <v>29.4</v>
      </c>
      <c r="N51" s="19">
        <f>MAX(N34:N44)</f>
        <v>22.3</v>
      </c>
      <c r="P51" s="19">
        <f>MAX(O34:P44)</f>
        <v>16.28</v>
      </c>
      <c r="Q51" s="19">
        <f>MAX(Q34:Q44)</f>
        <v>19.190000000000001</v>
      </c>
      <c r="S51" s="19">
        <f>MAX(R34:S44)</f>
        <v>11.1</v>
      </c>
      <c r="T51" s="19">
        <f>MAX(T34:T44)</f>
        <v>4.3000000000000007</v>
      </c>
      <c r="V51" s="19">
        <f>MAX(U34:V44)</f>
        <v>31.5</v>
      </c>
      <c r="W51" s="19">
        <f>MAX(W34:W44)</f>
        <v>20</v>
      </c>
      <c r="Y51" s="19">
        <f>MAX(X34:Y44)</f>
        <v>10.7</v>
      </c>
      <c r="Z51" s="19">
        <f>MAX(Z34:Z44)</f>
        <v>6.5</v>
      </c>
    </row>
    <row r="52" spans="1:26">
      <c r="A52" s="18" t="s">
        <v>37</v>
      </c>
      <c r="D52" s="19">
        <f>D51-D50</f>
        <v>11017.599999999999</v>
      </c>
      <c r="E52" s="19">
        <f>E51-E50</f>
        <v>10768.199999999997</v>
      </c>
      <c r="G52" s="19">
        <f>G51-G50</f>
        <v>6.3000000000000114</v>
      </c>
      <c r="H52" s="19">
        <f>H51-H50</f>
        <v>6.4000000000000057</v>
      </c>
      <c r="J52" s="19">
        <f>J51-J50</f>
        <v>1.7300000000000002</v>
      </c>
      <c r="K52" s="19">
        <f>K51-K50</f>
        <v>1.6099999999999999</v>
      </c>
      <c r="M52" s="19">
        <f>M51-M50</f>
        <v>17</v>
      </c>
      <c r="N52" s="19">
        <f>N51-N50</f>
        <v>10.700000000000001</v>
      </c>
      <c r="P52" s="19">
        <f>P51-P50</f>
        <v>12.340000000000002</v>
      </c>
      <c r="Q52" s="19">
        <f>Q51-Q50</f>
        <v>13.71</v>
      </c>
      <c r="S52" s="19">
        <f>S51-S50</f>
        <v>11.1</v>
      </c>
      <c r="T52" s="19">
        <f>T51-T50</f>
        <v>4.3000000000000007</v>
      </c>
      <c r="V52" s="19">
        <f>V51-V50</f>
        <v>31.5</v>
      </c>
      <c r="W52" s="19">
        <f>W51-W50</f>
        <v>20</v>
      </c>
      <c r="Y52" s="19">
        <f>Y51-Y50</f>
        <v>10.7</v>
      </c>
      <c r="Z52" s="19">
        <f>Z51-Z50</f>
        <v>6.5</v>
      </c>
    </row>
    <row r="56" spans="1:26">
      <c r="B56" s="20" t="s">
        <v>41</v>
      </c>
      <c r="L56" s="36" t="s">
        <v>42</v>
      </c>
    </row>
    <row r="57" spans="1:26" ht="15.75" thickBot="1"/>
    <row r="58" spans="1:26" ht="16.5" thickTop="1" thickBot="1">
      <c r="B58" s="27">
        <v>2015</v>
      </c>
      <c r="C58" s="28" t="s">
        <v>43</v>
      </c>
      <c r="D58" s="29" t="s">
        <v>44</v>
      </c>
      <c r="E58" s="29" t="s">
        <v>45</v>
      </c>
      <c r="F58" s="29" t="s">
        <v>46</v>
      </c>
      <c r="G58" s="29" t="s">
        <v>47</v>
      </c>
      <c r="H58" s="29" t="s">
        <v>48</v>
      </c>
      <c r="I58" s="29" t="s">
        <v>49</v>
      </c>
      <c r="J58" s="30" t="s">
        <v>50</v>
      </c>
      <c r="L58" s="27">
        <v>2015</v>
      </c>
      <c r="M58" s="28" t="s">
        <v>43</v>
      </c>
      <c r="N58" s="29" t="s">
        <v>44</v>
      </c>
      <c r="O58" s="29" t="s">
        <v>45</v>
      </c>
      <c r="P58" s="29" t="s">
        <v>46</v>
      </c>
      <c r="Q58" s="29" t="s">
        <v>47</v>
      </c>
      <c r="R58" s="29" t="s">
        <v>48</v>
      </c>
      <c r="S58" s="29" t="s">
        <v>49</v>
      </c>
      <c r="T58" s="30" t="s">
        <v>50</v>
      </c>
    </row>
    <row r="59" spans="1:26" ht="16.5" thickTop="1">
      <c r="B59" s="1" t="s">
        <v>11</v>
      </c>
      <c r="C59">
        <v>13586</v>
      </c>
      <c r="D59">
        <v>74.7</v>
      </c>
      <c r="E59">
        <v>0.95</v>
      </c>
      <c r="F59">
        <v>22.2</v>
      </c>
      <c r="G59">
        <v>3.94</v>
      </c>
      <c r="H59">
        <v>6.1</v>
      </c>
      <c r="I59">
        <v>1.2000000000000028</v>
      </c>
      <c r="J59" s="24">
        <v>6.6</v>
      </c>
      <c r="L59" s="1" t="s">
        <v>11</v>
      </c>
      <c r="M59">
        <v>13586</v>
      </c>
      <c r="N59">
        <v>74.7</v>
      </c>
      <c r="O59">
        <v>0.95</v>
      </c>
      <c r="P59">
        <v>22.2</v>
      </c>
      <c r="Q59">
        <v>3.94</v>
      </c>
      <c r="R59">
        <v>6.1</v>
      </c>
      <c r="S59">
        <v>1.2000000000000028</v>
      </c>
      <c r="T59" s="24">
        <v>6.6</v>
      </c>
    </row>
    <row r="60" spans="1:26">
      <c r="B60" s="2" t="s">
        <v>12</v>
      </c>
      <c r="C60">
        <v>17084.599999999999</v>
      </c>
      <c r="D60">
        <v>77.5</v>
      </c>
      <c r="E60">
        <v>0.82</v>
      </c>
      <c r="F60">
        <v>20.399999999999999</v>
      </c>
      <c r="G60">
        <v>6.57</v>
      </c>
      <c r="H60">
        <v>0</v>
      </c>
      <c r="I60">
        <v>20.100000000000001</v>
      </c>
      <c r="J60" s="24">
        <v>9.6</v>
      </c>
      <c r="L60" s="2" t="s">
        <v>12</v>
      </c>
      <c r="M60">
        <v>17084.599999999999</v>
      </c>
      <c r="N60">
        <v>77.5</v>
      </c>
      <c r="O60">
        <v>0.82</v>
      </c>
      <c r="P60">
        <v>20.399999999999999</v>
      </c>
      <c r="Q60">
        <v>6.57</v>
      </c>
      <c r="R60">
        <v>0</v>
      </c>
      <c r="S60">
        <v>20.100000000000001</v>
      </c>
      <c r="T60" s="24">
        <v>9.6</v>
      </c>
    </row>
    <row r="61" spans="1:26">
      <c r="B61" s="2" t="s">
        <v>13</v>
      </c>
      <c r="C61">
        <v>24603.599999999999</v>
      </c>
      <c r="D61">
        <v>78.7</v>
      </c>
      <c r="E61">
        <v>1.91</v>
      </c>
      <c r="F61">
        <v>12.4</v>
      </c>
      <c r="G61">
        <v>15.3</v>
      </c>
      <c r="H61">
        <v>11.1</v>
      </c>
      <c r="I61">
        <v>31.5</v>
      </c>
      <c r="J61" s="24">
        <v>3</v>
      </c>
      <c r="L61" s="2" t="s">
        <v>13</v>
      </c>
      <c r="M61">
        <v>24603.599999999999</v>
      </c>
      <c r="N61">
        <v>78.7</v>
      </c>
      <c r="O61">
        <v>1.91</v>
      </c>
      <c r="P61">
        <v>12.4</v>
      </c>
      <c r="Q61">
        <v>15.3</v>
      </c>
      <c r="R61">
        <v>11.1</v>
      </c>
      <c r="S61">
        <v>31.5</v>
      </c>
      <c r="T61" s="24">
        <v>3</v>
      </c>
    </row>
    <row r="62" spans="1:26">
      <c r="B62" s="2" t="s">
        <v>15</v>
      </c>
      <c r="C62">
        <v>21398.400000000001</v>
      </c>
      <c r="D62">
        <v>78</v>
      </c>
      <c r="E62">
        <v>1.44</v>
      </c>
      <c r="F62">
        <v>18.3</v>
      </c>
      <c r="G62">
        <v>16.28</v>
      </c>
      <c r="H62">
        <v>9.7999999999999989</v>
      </c>
      <c r="I62">
        <v>20.9</v>
      </c>
      <c r="J62" s="24">
        <v>0</v>
      </c>
      <c r="L62" s="2" t="s">
        <v>15</v>
      </c>
      <c r="M62">
        <v>21398.400000000001</v>
      </c>
      <c r="N62">
        <v>78</v>
      </c>
      <c r="O62">
        <v>1.44</v>
      </c>
      <c r="P62">
        <v>18.3</v>
      </c>
      <c r="Q62">
        <v>16.28</v>
      </c>
      <c r="R62">
        <v>9.7999999999999989</v>
      </c>
      <c r="S62">
        <v>20.9</v>
      </c>
      <c r="T62" s="24">
        <v>0</v>
      </c>
    </row>
    <row r="63" spans="1:26">
      <c r="B63" s="2" t="s">
        <v>16</v>
      </c>
      <c r="C63">
        <v>20741.2</v>
      </c>
      <c r="D63">
        <v>74.599999999999994</v>
      </c>
      <c r="E63">
        <v>0.64</v>
      </c>
      <c r="F63">
        <v>13.8</v>
      </c>
      <c r="G63">
        <v>6.55</v>
      </c>
      <c r="H63">
        <v>7.1</v>
      </c>
      <c r="I63">
        <v>15.100000000000001</v>
      </c>
      <c r="J63" s="24">
        <v>10</v>
      </c>
      <c r="L63" s="2" t="s">
        <v>16</v>
      </c>
      <c r="M63">
        <v>20741.2</v>
      </c>
      <c r="N63">
        <v>74.599999999999994</v>
      </c>
      <c r="O63">
        <v>0.64</v>
      </c>
      <c r="P63">
        <v>13.8</v>
      </c>
      <c r="Q63">
        <v>6.55</v>
      </c>
      <c r="R63">
        <v>7.1</v>
      </c>
      <c r="S63">
        <v>15.100000000000001</v>
      </c>
      <c r="T63" s="24">
        <v>10</v>
      </c>
    </row>
    <row r="64" spans="1:26">
      <c r="B64" s="2" t="s">
        <v>17</v>
      </c>
      <c r="C64">
        <v>17354</v>
      </c>
      <c r="D64">
        <v>74.8</v>
      </c>
      <c r="E64">
        <v>1.04</v>
      </c>
      <c r="F64">
        <v>15.6</v>
      </c>
      <c r="G64">
        <v>9.5299999999999994</v>
      </c>
      <c r="H64">
        <v>6.2999999999999989</v>
      </c>
      <c r="I64">
        <v>14.5</v>
      </c>
      <c r="J64" s="24">
        <v>8.6</v>
      </c>
      <c r="L64" s="2" t="s">
        <v>17</v>
      </c>
      <c r="M64">
        <v>17354</v>
      </c>
      <c r="N64">
        <v>74.8</v>
      </c>
      <c r="O64">
        <v>1.04</v>
      </c>
      <c r="P64">
        <v>15.6</v>
      </c>
      <c r="Q64">
        <v>9.5299999999999994</v>
      </c>
      <c r="R64">
        <v>6.2999999999999989</v>
      </c>
      <c r="S64">
        <v>14.5</v>
      </c>
      <c r="T64" s="24">
        <v>8.6</v>
      </c>
    </row>
    <row r="65" spans="1:21">
      <c r="B65" s="2" t="s">
        <v>18</v>
      </c>
      <c r="C65">
        <v>19368.900000000001</v>
      </c>
      <c r="D65">
        <v>75.7</v>
      </c>
      <c r="E65">
        <v>1.34</v>
      </c>
      <c r="F65">
        <v>21.9</v>
      </c>
      <c r="G65">
        <v>14.48</v>
      </c>
      <c r="H65">
        <v>9.6</v>
      </c>
      <c r="I65">
        <v>13.899999999999999</v>
      </c>
      <c r="J65" s="24">
        <v>8.3999999999999986</v>
      </c>
      <c r="L65" s="2" t="s">
        <v>18</v>
      </c>
      <c r="M65">
        <v>19368.900000000001</v>
      </c>
      <c r="N65">
        <v>75.7</v>
      </c>
      <c r="O65">
        <v>1.34</v>
      </c>
      <c r="P65">
        <v>21.9</v>
      </c>
      <c r="Q65">
        <v>14.48</v>
      </c>
      <c r="R65">
        <v>9.6</v>
      </c>
      <c r="S65">
        <v>13.899999999999999</v>
      </c>
      <c r="T65" s="24">
        <v>8.3999999999999986</v>
      </c>
    </row>
    <row r="66" spans="1:21">
      <c r="B66" s="2" t="s">
        <v>19</v>
      </c>
      <c r="C66">
        <v>19407.599999999999</v>
      </c>
      <c r="D66">
        <v>77.5</v>
      </c>
      <c r="E66">
        <v>1</v>
      </c>
      <c r="F66">
        <v>15.2</v>
      </c>
      <c r="G66">
        <v>7.92</v>
      </c>
      <c r="H66">
        <v>8.5</v>
      </c>
      <c r="I66">
        <v>22</v>
      </c>
      <c r="J66" s="24">
        <v>5</v>
      </c>
      <c r="L66" s="2" t="s">
        <v>19</v>
      </c>
      <c r="M66">
        <v>19407.599999999999</v>
      </c>
      <c r="N66">
        <v>77.5</v>
      </c>
      <c r="O66">
        <v>1</v>
      </c>
      <c r="P66">
        <v>15.2</v>
      </c>
      <c r="Q66">
        <v>7.92</v>
      </c>
      <c r="R66">
        <v>8.5</v>
      </c>
      <c r="S66">
        <v>22</v>
      </c>
      <c r="T66" s="24">
        <v>5</v>
      </c>
    </row>
    <row r="67" spans="1:21">
      <c r="B67" s="2" t="s">
        <v>20</v>
      </c>
      <c r="C67">
        <v>15543.4</v>
      </c>
      <c r="D67">
        <v>74.900000000000006</v>
      </c>
      <c r="E67">
        <v>0.49</v>
      </c>
      <c r="F67">
        <v>29.4</v>
      </c>
      <c r="G67">
        <v>6.43</v>
      </c>
      <c r="H67">
        <v>7.7999999999999989</v>
      </c>
      <c r="I67">
        <v>0</v>
      </c>
      <c r="J67" s="24">
        <v>10.7</v>
      </c>
      <c r="L67" s="2" t="s">
        <v>20</v>
      </c>
      <c r="M67">
        <v>15543.4</v>
      </c>
      <c r="N67">
        <v>74.900000000000006</v>
      </c>
      <c r="O67">
        <v>0.49</v>
      </c>
      <c r="P67">
        <v>25.5</v>
      </c>
      <c r="Q67">
        <v>6.43</v>
      </c>
      <c r="R67">
        <v>7.7999999999999989</v>
      </c>
      <c r="S67">
        <v>0</v>
      </c>
      <c r="T67" s="24">
        <v>10.7</v>
      </c>
    </row>
    <row r="68" spans="1:21">
      <c r="B68" s="2" t="s">
        <v>21</v>
      </c>
      <c r="C68">
        <v>21683</v>
      </c>
      <c r="D68">
        <v>76.7</v>
      </c>
      <c r="E68">
        <v>1.1499999999999999</v>
      </c>
      <c r="F68">
        <v>14.6</v>
      </c>
      <c r="G68">
        <v>5.35</v>
      </c>
      <c r="H68">
        <v>7.1999999999999993</v>
      </c>
      <c r="I68">
        <v>27.2</v>
      </c>
      <c r="J68" s="24">
        <v>7.6999999999999993</v>
      </c>
      <c r="L68" s="2" t="s">
        <v>21</v>
      </c>
      <c r="M68">
        <v>21683</v>
      </c>
      <c r="N68">
        <v>76.7</v>
      </c>
      <c r="O68">
        <v>1.1499999999999999</v>
      </c>
      <c r="P68">
        <v>14.6</v>
      </c>
      <c r="Q68">
        <v>5.35</v>
      </c>
      <c r="R68">
        <v>7.1999999999999993</v>
      </c>
      <c r="S68">
        <v>27.2</v>
      </c>
      <c r="T68" s="24">
        <v>7.6999999999999993</v>
      </c>
    </row>
    <row r="69" spans="1:21" ht="15.75" thickBot="1">
      <c r="B69" s="3" t="s">
        <v>22</v>
      </c>
      <c r="C69" s="25">
        <v>22534.1</v>
      </c>
      <c r="D69" s="25">
        <v>80.900000000000006</v>
      </c>
      <c r="E69" s="25">
        <v>2.2200000000000002</v>
      </c>
      <c r="F69" s="25">
        <v>17.399999999999999</v>
      </c>
      <c r="G69" s="25">
        <v>9.91</v>
      </c>
      <c r="H69" s="25">
        <v>4.6999999999999993</v>
      </c>
      <c r="I69" s="25">
        <v>26.8</v>
      </c>
      <c r="J69" s="26">
        <v>5.7999999999999989</v>
      </c>
      <c r="L69" s="3" t="s">
        <v>22</v>
      </c>
      <c r="M69" s="25">
        <v>22534.1</v>
      </c>
      <c r="N69" s="25">
        <v>80.900000000000006</v>
      </c>
      <c r="O69" s="25">
        <v>2.2200000000000002</v>
      </c>
      <c r="P69" s="25">
        <v>17.399999999999999</v>
      </c>
      <c r="Q69" s="25">
        <v>9.91</v>
      </c>
      <c r="R69" s="25">
        <v>4.6999999999999993</v>
      </c>
      <c r="S69" s="25">
        <v>26.8</v>
      </c>
      <c r="T69" s="26">
        <v>5.7999999999999989</v>
      </c>
    </row>
    <row r="70" spans="1:21" ht="16.5" thickTop="1" thickBot="1">
      <c r="B70" s="27">
        <v>2023</v>
      </c>
      <c r="C70" s="28"/>
      <c r="D70" s="29"/>
      <c r="E70" s="29"/>
      <c r="F70" s="29"/>
      <c r="G70" s="29"/>
      <c r="H70" s="29"/>
      <c r="I70" s="29"/>
      <c r="J70" s="30"/>
      <c r="L70" s="27">
        <v>2023</v>
      </c>
      <c r="M70" s="28"/>
      <c r="N70" s="29"/>
      <c r="O70" s="29"/>
      <c r="P70" s="29"/>
      <c r="Q70" s="29"/>
      <c r="R70" s="29"/>
      <c r="S70" s="29"/>
      <c r="T70" s="30"/>
    </row>
    <row r="71" spans="1:21" ht="16.5" thickTop="1">
      <c r="A71" s="31"/>
      <c r="B71" s="1" t="s">
        <v>11</v>
      </c>
      <c r="C71" s="115">
        <v>24284</v>
      </c>
      <c r="D71" s="116">
        <v>75.8</v>
      </c>
      <c r="E71" s="116">
        <v>0.79</v>
      </c>
      <c r="F71" s="116">
        <v>18.7</v>
      </c>
      <c r="G71" s="116">
        <v>5.48</v>
      </c>
      <c r="H71" s="116">
        <v>2.6000000000000005</v>
      </c>
      <c r="I71" s="117">
        <v>2</v>
      </c>
      <c r="J71" s="118">
        <v>3.8</v>
      </c>
      <c r="L71" s="1" t="s">
        <v>11</v>
      </c>
      <c r="M71" s="115">
        <v>24284</v>
      </c>
      <c r="N71" s="116">
        <v>75.8</v>
      </c>
      <c r="O71" s="116">
        <v>0.79</v>
      </c>
      <c r="P71" s="116">
        <v>18.7</v>
      </c>
      <c r="Q71" s="116">
        <v>5.48</v>
      </c>
      <c r="R71" s="116">
        <v>2.6000000000000005</v>
      </c>
      <c r="S71" s="117">
        <v>2</v>
      </c>
      <c r="T71" s="118">
        <v>3.8</v>
      </c>
      <c r="U71" s="19"/>
    </row>
    <row r="72" spans="1:21">
      <c r="A72" s="31"/>
      <c r="B72" s="2" t="s">
        <v>12</v>
      </c>
      <c r="C72" s="119">
        <v>30029.1</v>
      </c>
      <c r="D72" s="120">
        <v>78.599999999999994</v>
      </c>
      <c r="E72" s="120">
        <v>1.39</v>
      </c>
      <c r="F72" s="120">
        <v>15.2</v>
      </c>
      <c r="G72" s="120">
        <v>6.85</v>
      </c>
      <c r="H72" s="120">
        <v>0.80000000000000071</v>
      </c>
      <c r="I72" s="121">
        <v>11.3</v>
      </c>
      <c r="J72" s="122">
        <v>4.3</v>
      </c>
      <c r="L72" s="2" t="s">
        <v>12</v>
      </c>
      <c r="M72" s="119">
        <v>30029.1</v>
      </c>
      <c r="N72" s="120">
        <v>78.599999999999994</v>
      </c>
      <c r="O72" s="120">
        <v>1.39</v>
      </c>
      <c r="P72" s="120">
        <v>15.2</v>
      </c>
      <c r="Q72" s="120">
        <v>6.85</v>
      </c>
      <c r="R72" s="120">
        <v>0.80000000000000071</v>
      </c>
      <c r="S72" s="121">
        <v>11.3</v>
      </c>
      <c r="T72" s="122">
        <v>4.3</v>
      </c>
    </row>
    <row r="73" spans="1:21">
      <c r="A73" s="31"/>
      <c r="B73" s="2" t="s">
        <v>13</v>
      </c>
      <c r="C73" s="119">
        <v>34664.5</v>
      </c>
      <c r="D73" s="120">
        <v>79.900000000000006</v>
      </c>
      <c r="E73" s="120">
        <v>1.82</v>
      </c>
      <c r="F73" s="120">
        <v>13.4</v>
      </c>
      <c r="G73" s="120">
        <v>19.190000000000001</v>
      </c>
      <c r="H73" s="120">
        <v>4.3000000000000007</v>
      </c>
      <c r="I73" s="121">
        <v>20</v>
      </c>
      <c r="J73" s="122">
        <v>0.40000000000000036</v>
      </c>
      <c r="L73" s="2" t="s">
        <v>13</v>
      </c>
      <c r="M73" s="119">
        <v>34664.5</v>
      </c>
      <c r="N73" s="120">
        <v>79.900000000000006</v>
      </c>
      <c r="O73" s="120">
        <v>1.82</v>
      </c>
      <c r="P73" s="120">
        <v>13.4</v>
      </c>
      <c r="Q73" s="120">
        <v>16.521249999999998</v>
      </c>
      <c r="R73" s="120">
        <v>4.3000000000000007</v>
      </c>
      <c r="S73" s="121">
        <v>20</v>
      </c>
      <c r="T73" s="122">
        <v>0.40000000000000036</v>
      </c>
    </row>
    <row r="74" spans="1:21">
      <c r="A74" s="31"/>
      <c r="B74" s="2" t="s">
        <v>15</v>
      </c>
      <c r="C74" s="119">
        <v>30583.4</v>
      </c>
      <c r="D74" s="120">
        <v>79.099999999999994</v>
      </c>
      <c r="E74" s="120">
        <v>1.83</v>
      </c>
      <c r="F74" s="120">
        <v>17.5</v>
      </c>
      <c r="G74" s="120">
        <v>10.79</v>
      </c>
      <c r="H74" s="120">
        <v>0.5</v>
      </c>
      <c r="I74" s="121">
        <v>7.8</v>
      </c>
      <c r="J74" s="122">
        <v>0</v>
      </c>
      <c r="L74" s="2" t="s">
        <v>15</v>
      </c>
      <c r="M74" s="119">
        <v>30583.4</v>
      </c>
      <c r="N74" s="120">
        <v>79.099999999999994</v>
      </c>
      <c r="O74" s="120">
        <v>1.83</v>
      </c>
      <c r="P74" s="120">
        <v>17.5</v>
      </c>
      <c r="Q74" s="120">
        <v>10.79</v>
      </c>
      <c r="R74" s="120">
        <v>0.5</v>
      </c>
      <c r="S74" s="121">
        <v>7.8</v>
      </c>
      <c r="T74" s="122">
        <v>0</v>
      </c>
      <c r="U74" s="19"/>
    </row>
    <row r="75" spans="1:21">
      <c r="A75" s="31"/>
      <c r="B75" s="2" t="s">
        <v>16</v>
      </c>
      <c r="C75" s="119">
        <v>33263.800000000003</v>
      </c>
      <c r="D75" s="120">
        <v>77.599999999999994</v>
      </c>
      <c r="E75" s="120">
        <v>0.82</v>
      </c>
      <c r="F75" s="120">
        <v>11.6</v>
      </c>
      <c r="G75" s="120">
        <v>7.79</v>
      </c>
      <c r="H75" s="120">
        <v>0</v>
      </c>
      <c r="I75" s="121">
        <v>7.7</v>
      </c>
      <c r="J75" s="122">
        <v>5.0999999999999996</v>
      </c>
      <c r="L75" s="2" t="s">
        <v>16</v>
      </c>
      <c r="M75" s="119">
        <v>33263.800000000003</v>
      </c>
      <c r="N75" s="120">
        <v>77.599999999999994</v>
      </c>
      <c r="O75" s="120">
        <v>0.82</v>
      </c>
      <c r="P75" s="120">
        <v>11.6</v>
      </c>
      <c r="Q75" s="120">
        <v>7.79</v>
      </c>
      <c r="R75" s="120">
        <v>0</v>
      </c>
      <c r="S75" s="121">
        <v>7.7</v>
      </c>
      <c r="T75" s="122">
        <v>5.0999999999999996</v>
      </c>
      <c r="U75" s="19"/>
    </row>
    <row r="76" spans="1:21">
      <c r="A76" s="31"/>
      <c r="B76" s="2" t="s">
        <v>17</v>
      </c>
      <c r="C76" s="119">
        <v>27195.5</v>
      </c>
      <c r="D76" s="120">
        <v>75.599999999999994</v>
      </c>
      <c r="E76" s="120">
        <v>1.05</v>
      </c>
      <c r="F76" s="120">
        <v>16</v>
      </c>
      <c r="G76" s="120">
        <v>8.6999999999999993</v>
      </c>
      <c r="H76" s="120">
        <v>0.40000000000000036</v>
      </c>
      <c r="I76" s="121">
        <v>6.4</v>
      </c>
      <c r="J76" s="122">
        <v>1.7000000000000002</v>
      </c>
      <c r="L76" s="2" t="s">
        <v>17</v>
      </c>
      <c r="M76" s="119">
        <v>27195.5</v>
      </c>
      <c r="N76" s="120">
        <v>75.599999999999994</v>
      </c>
      <c r="O76" s="120">
        <v>1.05</v>
      </c>
      <c r="P76" s="120">
        <v>16</v>
      </c>
      <c r="Q76" s="120">
        <v>8.6999999999999993</v>
      </c>
      <c r="R76" s="120">
        <v>0.40000000000000036</v>
      </c>
      <c r="S76" s="121">
        <v>6.4</v>
      </c>
      <c r="T76" s="122">
        <v>1.7000000000000002</v>
      </c>
    </row>
    <row r="77" spans="1:21">
      <c r="A77" s="31"/>
      <c r="B77" s="2" t="s">
        <v>18</v>
      </c>
      <c r="C77" s="119">
        <v>29323</v>
      </c>
      <c r="D77" s="120">
        <v>76.7</v>
      </c>
      <c r="E77" s="120">
        <v>1.38</v>
      </c>
      <c r="F77" s="120">
        <v>18.100000000000001</v>
      </c>
      <c r="G77" s="120">
        <v>14.77</v>
      </c>
      <c r="H77" s="120">
        <v>2.8000000000000007</v>
      </c>
      <c r="I77" s="121">
        <v>12.3</v>
      </c>
      <c r="J77" s="122">
        <v>4.4000000000000004</v>
      </c>
      <c r="L77" s="2" t="s">
        <v>18</v>
      </c>
      <c r="M77" s="119">
        <v>29323</v>
      </c>
      <c r="N77" s="120">
        <v>76.7</v>
      </c>
      <c r="O77" s="120">
        <v>1.38</v>
      </c>
      <c r="P77" s="120">
        <v>18.100000000000001</v>
      </c>
      <c r="Q77" s="120">
        <v>14.77</v>
      </c>
      <c r="R77" s="120">
        <v>2.8000000000000007</v>
      </c>
      <c r="S77" s="121">
        <v>12.3</v>
      </c>
      <c r="T77" s="122">
        <v>4.4000000000000004</v>
      </c>
    </row>
    <row r="78" spans="1:21">
      <c r="A78" s="31"/>
      <c r="B78" s="2" t="s">
        <v>19</v>
      </c>
      <c r="C78" s="119">
        <v>29572.1</v>
      </c>
      <c r="D78" s="120">
        <v>78.400000000000006</v>
      </c>
      <c r="E78" s="120">
        <v>1.56</v>
      </c>
      <c r="F78" s="120">
        <v>12</v>
      </c>
      <c r="G78" s="120">
        <v>9.14</v>
      </c>
      <c r="H78" s="120">
        <v>4.1000000000000005</v>
      </c>
      <c r="I78" s="121">
        <v>15.7</v>
      </c>
      <c r="J78" s="122">
        <v>0.90000000000000036</v>
      </c>
      <c r="L78" s="2" t="s">
        <v>19</v>
      </c>
      <c r="M78" s="119">
        <v>29572.1</v>
      </c>
      <c r="N78" s="120">
        <v>78.400000000000006</v>
      </c>
      <c r="O78" s="120">
        <v>1.56</v>
      </c>
      <c r="P78" s="120">
        <v>12</v>
      </c>
      <c r="Q78" s="120">
        <v>9.14</v>
      </c>
      <c r="R78" s="120">
        <v>4.1000000000000005</v>
      </c>
      <c r="S78" s="121">
        <v>15.7</v>
      </c>
      <c r="T78" s="122">
        <v>0.90000000000000036</v>
      </c>
    </row>
    <row r="79" spans="1:21">
      <c r="A79" s="31"/>
      <c r="B79" s="2" t="s">
        <v>20</v>
      </c>
      <c r="C79" s="119">
        <v>29431.7</v>
      </c>
      <c r="D79" s="120">
        <v>76.400000000000006</v>
      </c>
      <c r="E79" s="120">
        <v>0.52</v>
      </c>
      <c r="F79" s="120">
        <v>22.3</v>
      </c>
      <c r="G79" s="120">
        <v>8.89</v>
      </c>
      <c r="H79" s="120">
        <v>1.3000000000000007</v>
      </c>
      <c r="I79" s="121">
        <v>0</v>
      </c>
      <c r="J79" s="122">
        <v>6.5</v>
      </c>
      <c r="L79" s="2" t="s">
        <v>20</v>
      </c>
      <c r="M79" s="119">
        <v>29431.7</v>
      </c>
      <c r="N79" s="120">
        <v>76.400000000000006</v>
      </c>
      <c r="O79" s="120">
        <v>0.52</v>
      </c>
      <c r="P79" s="120">
        <v>22.3</v>
      </c>
      <c r="Q79" s="120">
        <v>8.89</v>
      </c>
      <c r="R79" s="120">
        <v>1.3000000000000007</v>
      </c>
      <c r="S79" s="121">
        <v>0</v>
      </c>
      <c r="T79" s="122">
        <v>6.5</v>
      </c>
    </row>
    <row r="80" spans="1:21">
      <c r="A80" s="31"/>
      <c r="B80" s="2" t="s">
        <v>21</v>
      </c>
      <c r="C80" s="119">
        <v>35052.199999999997</v>
      </c>
      <c r="D80" s="120">
        <v>78.2</v>
      </c>
      <c r="E80" s="120">
        <v>1.03</v>
      </c>
      <c r="F80" s="120">
        <v>12.8</v>
      </c>
      <c r="G80" s="120">
        <v>6.7</v>
      </c>
      <c r="H80" s="120">
        <v>3.2</v>
      </c>
      <c r="I80" s="121">
        <v>14.4</v>
      </c>
      <c r="J80" s="122">
        <v>4.3</v>
      </c>
      <c r="L80" s="2" t="s">
        <v>21</v>
      </c>
      <c r="M80" s="119">
        <v>35052.199999999997</v>
      </c>
      <c r="N80" s="120">
        <v>78.2</v>
      </c>
      <c r="O80" s="120">
        <v>1.03</v>
      </c>
      <c r="P80" s="120">
        <v>12.8</v>
      </c>
      <c r="Q80" s="120">
        <v>6.7</v>
      </c>
      <c r="R80" s="120">
        <v>3.2</v>
      </c>
      <c r="S80" s="121">
        <v>14.4</v>
      </c>
      <c r="T80" s="122">
        <v>4.3</v>
      </c>
    </row>
    <row r="81" spans="1:21" ht="15.75" thickBot="1">
      <c r="A81" s="31"/>
      <c r="B81" s="3" t="s">
        <v>22</v>
      </c>
      <c r="C81" s="99">
        <v>35052.199999999997</v>
      </c>
      <c r="D81" s="100">
        <v>82</v>
      </c>
      <c r="E81" s="100">
        <v>2.13</v>
      </c>
      <c r="F81" s="100">
        <v>16.399999999999999</v>
      </c>
      <c r="G81" s="100">
        <v>7.44</v>
      </c>
      <c r="H81" s="100">
        <v>1.1000000000000005</v>
      </c>
      <c r="I81" s="123">
        <v>18.3</v>
      </c>
      <c r="J81" s="7">
        <v>4.5</v>
      </c>
      <c r="L81" s="3" t="s">
        <v>22</v>
      </c>
      <c r="M81" s="99">
        <v>35052.199999999997</v>
      </c>
      <c r="N81" s="100">
        <v>82</v>
      </c>
      <c r="O81" s="100">
        <v>2.13</v>
      </c>
      <c r="P81" s="100">
        <v>16.399999999999999</v>
      </c>
      <c r="Q81" s="100">
        <v>7.44</v>
      </c>
      <c r="R81" s="100">
        <v>1.1000000000000005</v>
      </c>
      <c r="S81" s="123">
        <v>18.3</v>
      </c>
      <c r="T81" s="7">
        <v>4.5</v>
      </c>
    </row>
    <row r="82" spans="1:21" ht="15.75" thickTop="1">
      <c r="A82" s="31"/>
      <c r="B82" s="31" t="s">
        <v>51</v>
      </c>
      <c r="C82">
        <f t="shared" ref="C82:J82" si="11">AVERAGE(C59:C81)</f>
        <v>25079.831818181821</v>
      </c>
      <c r="D82">
        <f t="shared" si="11"/>
        <v>77.377272727272725</v>
      </c>
      <c r="E82">
        <f t="shared" si="11"/>
        <v>1.2418181818181817</v>
      </c>
      <c r="F82">
        <f t="shared" si="11"/>
        <v>17.054545454545458</v>
      </c>
      <c r="G82">
        <f t="shared" si="11"/>
        <v>9.4545454545454515</v>
      </c>
      <c r="H82">
        <f t="shared" si="11"/>
        <v>4.5136363636363628</v>
      </c>
      <c r="I82">
        <f t="shared" si="11"/>
        <v>14.05</v>
      </c>
      <c r="J82">
        <f t="shared" si="11"/>
        <v>5.0590909090909086</v>
      </c>
      <c r="L82" s="31" t="s">
        <v>51</v>
      </c>
      <c r="M82">
        <f>AVERAGE(M59:M81)</f>
        <v>25079.831818181821</v>
      </c>
      <c r="N82">
        <f t="shared" ref="N82:T82" si="12">AVERAGE(N59:N81)</f>
        <v>77.377272727272725</v>
      </c>
      <c r="O82">
        <f t="shared" si="12"/>
        <v>1.2418181818181817</v>
      </c>
      <c r="P82">
        <f t="shared" si="12"/>
        <v>16.877272727272729</v>
      </c>
      <c r="Q82">
        <f t="shared" si="12"/>
        <v>9.3332386363636335</v>
      </c>
      <c r="R82">
        <f t="shared" si="12"/>
        <v>4.5136363636363628</v>
      </c>
      <c r="S82">
        <f t="shared" si="12"/>
        <v>14.05</v>
      </c>
      <c r="T82">
        <f t="shared" si="12"/>
        <v>5.0590909090909086</v>
      </c>
    </row>
    <row r="83" spans="1:21">
      <c r="A83" s="31"/>
      <c r="B83" s="31" t="s">
        <v>52</v>
      </c>
      <c r="C83">
        <f t="shared" ref="C83:J83" si="13">_xlfn.STDEV.P(C59:C81)</f>
        <v>6525.5881836175631</v>
      </c>
      <c r="D83">
        <f t="shared" si="13"/>
        <v>1.9833240734094093</v>
      </c>
      <c r="E83">
        <f t="shared" si="13"/>
        <v>0.49297461084943184</v>
      </c>
      <c r="F83">
        <f t="shared" si="13"/>
        <v>4.1686849106519777</v>
      </c>
      <c r="G83">
        <f t="shared" si="13"/>
        <v>3.957401267674086</v>
      </c>
      <c r="H83">
        <f t="shared" si="13"/>
        <v>3.4484905069986089</v>
      </c>
      <c r="I83">
        <f t="shared" si="13"/>
        <v>8.7853571355978435</v>
      </c>
      <c r="J83">
        <f t="shared" si="13"/>
        <v>3.1747095917163102</v>
      </c>
      <c r="L83" s="31" t="s">
        <v>52</v>
      </c>
      <c r="M83">
        <f>_xlfn.STDEV.P(M59:M81)</f>
        <v>6525.5881836175631</v>
      </c>
      <c r="N83">
        <f t="shared" ref="N83:T83" si="14">_xlfn.STDEV.P(N59:N81)</f>
        <v>1.9833240734094093</v>
      </c>
      <c r="O83">
        <f t="shared" si="14"/>
        <v>0.49297461084943184</v>
      </c>
      <c r="P83">
        <f t="shared" si="14"/>
        <v>3.6960583203512942</v>
      </c>
      <c r="Q83">
        <f t="shared" si="14"/>
        <v>3.6889148799271805</v>
      </c>
      <c r="R83">
        <f t="shared" si="14"/>
        <v>3.4484905069986089</v>
      </c>
      <c r="S83">
        <f t="shared" si="14"/>
        <v>8.7853571355978435</v>
      </c>
      <c r="T83">
        <f t="shared" si="14"/>
        <v>3.1747095917163102</v>
      </c>
    </row>
    <row r="84" spans="1:21">
      <c r="B84" s="31" t="s">
        <v>53</v>
      </c>
      <c r="C84">
        <f>C83/C82</f>
        <v>0.26019266121580553</v>
      </c>
      <c r="D84">
        <f t="shared" ref="D84:J84" si="15">D83/D82</f>
        <v>2.5631868422138875E-2</v>
      </c>
      <c r="E84">
        <f t="shared" si="15"/>
        <v>0.3969780907279466</v>
      </c>
      <c r="F84">
        <f t="shared" si="15"/>
        <v>0.2444324841000626</v>
      </c>
      <c r="G84">
        <f t="shared" si="15"/>
        <v>0.41857128792706694</v>
      </c>
      <c r="H84">
        <f t="shared" si="15"/>
        <v>0.7640160237056336</v>
      </c>
      <c r="I84">
        <f t="shared" si="15"/>
        <v>0.62529232281835179</v>
      </c>
      <c r="J84">
        <f t="shared" si="15"/>
        <v>0.62752570546054653</v>
      </c>
      <c r="L84" s="31" t="s">
        <v>53</v>
      </c>
      <c r="M84">
        <f>M83/M82</f>
        <v>0.26019266121580553</v>
      </c>
      <c r="N84">
        <f t="shared" ref="N84:T84" si="16">N83/N82</f>
        <v>2.5631868422138875E-2</v>
      </c>
      <c r="O84">
        <f t="shared" si="16"/>
        <v>0.3969780907279466</v>
      </c>
      <c r="P84">
        <f t="shared" si="16"/>
        <v>0.21899618380751001</v>
      </c>
      <c r="Q84">
        <f t="shared" si="16"/>
        <v>0.39524489018791831</v>
      </c>
      <c r="R84">
        <f t="shared" si="16"/>
        <v>0.7640160237056336</v>
      </c>
      <c r="S84">
        <f t="shared" si="16"/>
        <v>0.62529232281835179</v>
      </c>
      <c r="T84">
        <f t="shared" si="16"/>
        <v>0.62752570546054653</v>
      </c>
    </row>
    <row r="85" spans="1:21">
      <c r="B85" s="31" t="s">
        <v>54</v>
      </c>
      <c r="C85">
        <f t="shared" ref="C85:J85" si="17">MIN(C59:C81)</f>
        <v>13586</v>
      </c>
      <c r="D85">
        <f t="shared" si="17"/>
        <v>74.599999999999994</v>
      </c>
      <c r="E85">
        <f t="shared" si="17"/>
        <v>0.49</v>
      </c>
      <c r="F85">
        <f t="shared" si="17"/>
        <v>11.6</v>
      </c>
      <c r="G85">
        <f t="shared" si="17"/>
        <v>3.94</v>
      </c>
      <c r="H85">
        <f t="shared" si="17"/>
        <v>0</v>
      </c>
      <c r="I85">
        <f t="shared" si="17"/>
        <v>0</v>
      </c>
      <c r="J85">
        <f t="shared" si="17"/>
        <v>0</v>
      </c>
      <c r="L85" s="31" t="s">
        <v>54</v>
      </c>
      <c r="M85">
        <f>MIN(M59:M81)</f>
        <v>13586</v>
      </c>
      <c r="N85">
        <f t="shared" ref="N85:T85" si="18">MIN(N59:N81)</f>
        <v>74.599999999999994</v>
      </c>
      <c r="O85">
        <f t="shared" si="18"/>
        <v>0.49</v>
      </c>
      <c r="P85">
        <f t="shared" si="18"/>
        <v>11.6</v>
      </c>
      <c r="Q85">
        <f t="shared" si="18"/>
        <v>3.94</v>
      </c>
      <c r="R85">
        <f t="shared" si="18"/>
        <v>0</v>
      </c>
      <c r="S85">
        <f t="shared" si="18"/>
        <v>0</v>
      </c>
      <c r="T85">
        <f t="shared" si="18"/>
        <v>0</v>
      </c>
    </row>
    <row r="86" spans="1:21">
      <c r="B86" s="31" t="s">
        <v>55</v>
      </c>
      <c r="C86">
        <f t="shared" ref="C86:J86" si="19">MAX(C59:C81)</f>
        <v>35052.199999999997</v>
      </c>
      <c r="D86">
        <f t="shared" si="19"/>
        <v>82</v>
      </c>
      <c r="E86">
        <f t="shared" si="19"/>
        <v>2.2200000000000002</v>
      </c>
      <c r="F86">
        <f t="shared" si="19"/>
        <v>29.4</v>
      </c>
      <c r="G86">
        <f t="shared" si="19"/>
        <v>19.190000000000001</v>
      </c>
      <c r="H86">
        <f t="shared" si="19"/>
        <v>11.1</v>
      </c>
      <c r="I86">
        <f t="shared" si="19"/>
        <v>31.5</v>
      </c>
      <c r="J86">
        <f t="shared" si="19"/>
        <v>10.7</v>
      </c>
      <c r="L86" s="31" t="s">
        <v>55</v>
      </c>
      <c r="M86">
        <f>MAX(M59:M81)</f>
        <v>35052.199999999997</v>
      </c>
      <c r="N86">
        <f t="shared" ref="N86:T86" si="20">MAX(N59:N81)</f>
        <v>82</v>
      </c>
      <c r="O86">
        <f t="shared" si="20"/>
        <v>2.2200000000000002</v>
      </c>
      <c r="P86">
        <f t="shared" si="20"/>
        <v>25.5</v>
      </c>
      <c r="Q86">
        <f t="shared" si="20"/>
        <v>16.521249999999998</v>
      </c>
      <c r="R86">
        <f t="shared" si="20"/>
        <v>11.1</v>
      </c>
      <c r="S86">
        <f t="shared" si="20"/>
        <v>31.5</v>
      </c>
      <c r="T86">
        <f t="shared" si="20"/>
        <v>10.7</v>
      </c>
    </row>
    <row r="87" spans="1:21">
      <c r="B87" s="31" t="s">
        <v>56</v>
      </c>
      <c r="C87">
        <f>C86-C85</f>
        <v>21466.199999999997</v>
      </c>
      <c r="D87">
        <f t="shared" ref="D87:I87" si="21">D86-D85</f>
        <v>7.4000000000000057</v>
      </c>
      <c r="E87">
        <f t="shared" si="21"/>
        <v>1.7300000000000002</v>
      </c>
      <c r="F87">
        <f t="shared" si="21"/>
        <v>17.799999999999997</v>
      </c>
      <c r="G87">
        <f t="shared" si="21"/>
        <v>15.250000000000002</v>
      </c>
      <c r="H87">
        <f t="shared" si="21"/>
        <v>11.1</v>
      </c>
      <c r="I87">
        <f t="shared" si="21"/>
        <v>31.5</v>
      </c>
      <c r="J87">
        <f>J86-J85</f>
        <v>10.7</v>
      </c>
      <c r="L87" s="31" t="s">
        <v>56</v>
      </c>
      <c r="M87">
        <f>M86-M85</f>
        <v>21466.199999999997</v>
      </c>
      <c r="N87">
        <f t="shared" ref="N87:T87" si="22">N86-N85</f>
        <v>7.4000000000000057</v>
      </c>
      <c r="O87">
        <f t="shared" si="22"/>
        <v>1.7300000000000002</v>
      </c>
      <c r="P87">
        <f t="shared" si="22"/>
        <v>13.9</v>
      </c>
      <c r="Q87">
        <f t="shared" si="22"/>
        <v>12.581249999999999</v>
      </c>
      <c r="R87">
        <f t="shared" si="22"/>
        <v>11.1</v>
      </c>
      <c r="S87">
        <f t="shared" si="22"/>
        <v>31.5</v>
      </c>
      <c r="T87">
        <f t="shared" si="22"/>
        <v>10.7</v>
      </c>
    </row>
    <row r="88" spans="1:21">
      <c r="B88" s="31" t="s">
        <v>57</v>
      </c>
      <c r="C88">
        <f t="shared" ref="C88:J88" si="23">QUARTILE(C59:C81,1)</f>
        <v>19741</v>
      </c>
      <c r="D88">
        <f t="shared" si="23"/>
        <v>75.724999999999994</v>
      </c>
      <c r="E88">
        <f t="shared" si="23"/>
        <v>0.85249999999999992</v>
      </c>
      <c r="F88">
        <f t="shared" si="23"/>
        <v>14</v>
      </c>
      <c r="G88">
        <f t="shared" si="23"/>
        <v>6.6025</v>
      </c>
      <c r="H88">
        <f t="shared" si="23"/>
        <v>1.1500000000000006</v>
      </c>
      <c r="I88">
        <f t="shared" si="23"/>
        <v>7.7249999999999996</v>
      </c>
      <c r="J88">
        <f t="shared" si="23"/>
        <v>3.2</v>
      </c>
      <c r="L88" s="31" t="s">
        <v>57</v>
      </c>
      <c r="M88">
        <f>QUARTILE(M59:M81,1)</f>
        <v>19741</v>
      </c>
      <c r="N88">
        <f t="shared" ref="N88:T88" si="24">QUARTILE(N59:N81,1)</f>
        <v>75.724999999999994</v>
      </c>
      <c r="O88">
        <f t="shared" si="24"/>
        <v>0.85249999999999992</v>
      </c>
      <c r="P88">
        <f t="shared" si="24"/>
        <v>14</v>
      </c>
      <c r="Q88">
        <f t="shared" si="24"/>
        <v>6.6025</v>
      </c>
      <c r="R88">
        <f t="shared" si="24"/>
        <v>1.1500000000000006</v>
      </c>
      <c r="S88">
        <f t="shared" si="24"/>
        <v>7.7249999999999996</v>
      </c>
      <c r="T88">
        <f t="shared" si="24"/>
        <v>3.2</v>
      </c>
    </row>
    <row r="89" spans="1:21">
      <c r="B89" s="31" t="s">
        <v>58</v>
      </c>
      <c r="C89">
        <f t="shared" ref="C89:J89" si="25">QUARTILE(C59:C81,3)</f>
        <v>29914.85</v>
      </c>
      <c r="D89">
        <f t="shared" si="25"/>
        <v>78.55</v>
      </c>
      <c r="E89">
        <f t="shared" si="25"/>
        <v>1.53</v>
      </c>
      <c r="F89">
        <f t="shared" si="25"/>
        <v>18.600000000000001</v>
      </c>
      <c r="G89">
        <f t="shared" si="25"/>
        <v>10.57</v>
      </c>
      <c r="H89">
        <f t="shared" si="25"/>
        <v>7.1749999999999989</v>
      </c>
      <c r="I89">
        <f t="shared" si="25"/>
        <v>20.075000000000003</v>
      </c>
      <c r="J89">
        <f t="shared" si="25"/>
        <v>7.4249999999999989</v>
      </c>
      <c r="L89" s="31" t="s">
        <v>58</v>
      </c>
      <c r="M89">
        <f>QUARTILE(M59:M81,3)</f>
        <v>29914.85</v>
      </c>
      <c r="N89">
        <f t="shared" ref="N89:T89" si="26">QUARTILE(N59:N81,3)</f>
        <v>78.55</v>
      </c>
      <c r="O89">
        <f t="shared" si="26"/>
        <v>1.53</v>
      </c>
      <c r="P89">
        <f t="shared" si="26"/>
        <v>18.600000000000001</v>
      </c>
      <c r="Q89">
        <f t="shared" si="26"/>
        <v>10.57</v>
      </c>
      <c r="R89">
        <f t="shared" si="26"/>
        <v>7.1749999999999989</v>
      </c>
      <c r="S89">
        <f t="shared" si="26"/>
        <v>20.075000000000003</v>
      </c>
      <c r="T89">
        <f t="shared" si="26"/>
        <v>7.4249999999999989</v>
      </c>
    </row>
    <row r="90" spans="1:21">
      <c r="B90" s="31" t="s">
        <v>59</v>
      </c>
      <c r="C90">
        <f>C89-C88</f>
        <v>10173.849999999999</v>
      </c>
      <c r="D90">
        <f t="shared" ref="D90:I90" si="27">D89-D88</f>
        <v>2.8250000000000028</v>
      </c>
      <c r="E90">
        <f t="shared" si="27"/>
        <v>0.6775000000000001</v>
      </c>
      <c r="F90">
        <f t="shared" si="27"/>
        <v>4.6000000000000014</v>
      </c>
      <c r="G90">
        <f t="shared" si="27"/>
        <v>3.9675000000000002</v>
      </c>
      <c r="H90">
        <f t="shared" si="27"/>
        <v>6.0249999999999986</v>
      </c>
      <c r="I90">
        <f t="shared" si="27"/>
        <v>12.350000000000003</v>
      </c>
      <c r="J90">
        <f>J89-J88</f>
        <v>4.2249999999999988</v>
      </c>
      <c r="L90" s="31" t="s">
        <v>59</v>
      </c>
      <c r="M90">
        <f>M89-M88</f>
        <v>10173.849999999999</v>
      </c>
      <c r="N90">
        <f t="shared" ref="N90:T90" si="28">N89-N88</f>
        <v>2.8250000000000028</v>
      </c>
      <c r="O90">
        <f t="shared" si="28"/>
        <v>0.6775000000000001</v>
      </c>
      <c r="P90">
        <f t="shared" si="28"/>
        <v>4.6000000000000014</v>
      </c>
      <c r="Q90">
        <f t="shared" si="28"/>
        <v>3.9675000000000002</v>
      </c>
      <c r="R90">
        <f t="shared" si="28"/>
        <v>6.0249999999999986</v>
      </c>
      <c r="S90">
        <f t="shared" si="28"/>
        <v>12.350000000000003</v>
      </c>
      <c r="T90">
        <f t="shared" si="28"/>
        <v>4.2249999999999988</v>
      </c>
    </row>
    <row r="91" spans="1:21">
      <c r="B91" s="31" t="s">
        <v>60</v>
      </c>
      <c r="C91">
        <f t="shared" ref="C91:J91" si="29">C88-1.5*C90</f>
        <v>4480.2250000000022</v>
      </c>
      <c r="D91">
        <f t="shared" si="29"/>
        <v>71.487499999999983</v>
      </c>
      <c r="E91">
        <f t="shared" si="29"/>
        <v>-0.16375000000000017</v>
      </c>
      <c r="F91">
        <f t="shared" si="29"/>
        <v>7.0999999999999979</v>
      </c>
      <c r="G91">
        <f t="shared" si="29"/>
        <v>0.65125000000000011</v>
      </c>
      <c r="H91">
        <f t="shared" si="29"/>
        <v>-7.8874999999999975</v>
      </c>
      <c r="I91">
        <f t="shared" si="29"/>
        <v>-10.800000000000006</v>
      </c>
      <c r="J91">
        <f t="shared" si="29"/>
        <v>-3.1374999999999984</v>
      </c>
      <c r="L91" s="31" t="s">
        <v>60</v>
      </c>
      <c r="M91">
        <f>M88-1.5*M90</f>
        <v>4480.2250000000022</v>
      </c>
      <c r="N91">
        <f t="shared" ref="N91:T91" si="30">N88-1.5*N90</f>
        <v>71.487499999999983</v>
      </c>
      <c r="O91">
        <f t="shared" si="30"/>
        <v>-0.16375000000000017</v>
      </c>
      <c r="P91">
        <f t="shared" si="30"/>
        <v>7.0999999999999979</v>
      </c>
      <c r="Q91">
        <f t="shared" si="30"/>
        <v>0.65125000000000011</v>
      </c>
      <c r="R91">
        <f t="shared" si="30"/>
        <v>-7.8874999999999975</v>
      </c>
      <c r="S91">
        <f t="shared" si="30"/>
        <v>-10.800000000000006</v>
      </c>
      <c r="T91">
        <f t="shared" si="30"/>
        <v>-3.1374999999999984</v>
      </c>
    </row>
    <row r="92" spans="1:21">
      <c r="B92" s="31" t="s">
        <v>61</v>
      </c>
      <c r="C92">
        <f t="shared" ref="C92:J92" si="31">C89+1.5*C90</f>
        <v>45175.625</v>
      </c>
      <c r="D92">
        <f t="shared" si="31"/>
        <v>82.787499999999994</v>
      </c>
      <c r="E92">
        <f t="shared" si="31"/>
        <v>2.5462500000000001</v>
      </c>
      <c r="F92">
        <f t="shared" si="31"/>
        <v>25.500000000000004</v>
      </c>
      <c r="G92">
        <f t="shared" si="31"/>
        <v>16.521250000000002</v>
      </c>
      <c r="H92">
        <f t="shared" si="31"/>
        <v>16.212499999999999</v>
      </c>
      <c r="I92">
        <f t="shared" si="31"/>
        <v>38.600000000000009</v>
      </c>
      <c r="J92">
        <f t="shared" si="31"/>
        <v>13.762499999999998</v>
      </c>
      <c r="L92" s="31" t="s">
        <v>61</v>
      </c>
      <c r="M92">
        <f>M89+1.5*M90</f>
        <v>45175.625</v>
      </c>
      <c r="N92">
        <f t="shared" ref="N92:T92" si="32">N89+1.5*N90</f>
        <v>82.787499999999994</v>
      </c>
      <c r="O92">
        <f t="shared" si="32"/>
        <v>2.5462500000000001</v>
      </c>
      <c r="P92">
        <f t="shared" si="32"/>
        <v>25.500000000000004</v>
      </c>
      <c r="Q92">
        <f t="shared" si="32"/>
        <v>16.521250000000002</v>
      </c>
      <c r="R92">
        <f t="shared" si="32"/>
        <v>16.212499999999999</v>
      </c>
      <c r="S92">
        <f t="shared" si="32"/>
        <v>38.600000000000009</v>
      </c>
      <c r="T92">
        <f t="shared" si="32"/>
        <v>13.762499999999998</v>
      </c>
      <c r="U92" s="9"/>
    </row>
    <row r="93" spans="1:21">
      <c r="B93" s="31" t="s">
        <v>62</v>
      </c>
      <c r="C93" t="str">
        <f t="shared" ref="C93:J93" si="33">IF(C85&lt;C91,"tak","nie")</f>
        <v>nie</v>
      </c>
      <c r="D93" t="str">
        <f t="shared" si="33"/>
        <v>nie</v>
      </c>
      <c r="E93" t="str">
        <f t="shared" si="33"/>
        <v>nie</v>
      </c>
      <c r="F93" t="str">
        <f t="shared" si="33"/>
        <v>nie</v>
      </c>
      <c r="G93" t="str">
        <f t="shared" si="33"/>
        <v>nie</v>
      </c>
      <c r="H93" t="str">
        <f t="shared" si="33"/>
        <v>nie</v>
      </c>
      <c r="I93" t="str">
        <f t="shared" si="33"/>
        <v>nie</v>
      </c>
      <c r="J93" t="str">
        <f t="shared" si="33"/>
        <v>nie</v>
      </c>
      <c r="L93" s="31" t="s">
        <v>62</v>
      </c>
      <c r="M93" t="str">
        <f>IF(M85&lt;M91,"tak","nie")</f>
        <v>nie</v>
      </c>
      <c r="N93" t="str">
        <f t="shared" ref="N93:T93" si="34">IF(N85&lt;N91,"tak","nie")</f>
        <v>nie</v>
      </c>
      <c r="O93" t="str">
        <f t="shared" si="34"/>
        <v>nie</v>
      </c>
      <c r="P93" t="str">
        <f t="shared" si="34"/>
        <v>nie</v>
      </c>
      <c r="Q93" t="str">
        <f t="shared" si="34"/>
        <v>nie</v>
      </c>
      <c r="R93" t="str">
        <f t="shared" si="34"/>
        <v>nie</v>
      </c>
      <c r="S93" t="str">
        <f t="shared" si="34"/>
        <v>nie</v>
      </c>
      <c r="T93" t="str">
        <f t="shared" si="34"/>
        <v>nie</v>
      </c>
      <c r="U93" s="9"/>
    </row>
    <row r="94" spans="1:21">
      <c r="B94" s="31" t="s">
        <v>63</v>
      </c>
      <c r="C94" t="str">
        <f>IF(C86&gt;C92,"tak","nie")</f>
        <v>nie</v>
      </c>
      <c r="D94" t="str">
        <f t="shared" ref="D94:I94" si="35">IF(D86&gt;D92,"tak","nie")</f>
        <v>nie</v>
      </c>
      <c r="E94" t="str">
        <f t="shared" si="35"/>
        <v>nie</v>
      </c>
      <c r="F94" s="32" t="str">
        <f>IF(F86&gt;F92,"tak","nie")</f>
        <v>tak</v>
      </c>
      <c r="G94" s="32" t="str">
        <f t="shared" si="35"/>
        <v>tak</v>
      </c>
      <c r="H94" t="str">
        <f t="shared" si="35"/>
        <v>nie</v>
      </c>
      <c r="I94" t="str">
        <f t="shared" si="35"/>
        <v>nie</v>
      </c>
      <c r="J94" t="str">
        <f>IF(J86&gt;J92,"tak","nie")</f>
        <v>nie</v>
      </c>
      <c r="L94" s="31" t="s">
        <v>63</v>
      </c>
      <c r="M94" t="str">
        <f>IF(M86&gt;M92,"tak","nie")</f>
        <v>nie</v>
      </c>
      <c r="N94" t="str">
        <f t="shared" ref="N94:T94" si="36">IF(N86&gt;N92,"tak","nie")</f>
        <v>nie</v>
      </c>
      <c r="O94" t="str">
        <f t="shared" si="36"/>
        <v>nie</v>
      </c>
      <c r="P94" t="str">
        <f t="shared" si="36"/>
        <v>nie</v>
      </c>
      <c r="Q94" t="str">
        <f t="shared" si="36"/>
        <v>nie</v>
      </c>
      <c r="R94" t="str">
        <f t="shared" si="36"/>
        <v>nie</v>
      </c>
      <c r="S94" t="str">
        <f t="shared" si="36"/>
        <v>nie</v>
      </c>
      <c r="T94" t="str">
        <f t="shared" si="36"/>
        <v>nie</v>
      </c>
      <c r="U94" s="9"/>
    </row>
    <row r="95" spans="1:21">
      <c r="N95" s="9"/>
      <c r="O95" s="9"/>
      <c r="P95" s="9"/>
      <c r="Q95" s="9"/>
      <c r="R95" s="9"/>
      <c r="S95" s="9"/>
      <c r="T95" s="34"/>
      <c r="U95" s="9"/>
    </row>
    <row r="96" spans="1:21">
      <c r="B96" s="212" t="s">
        <v>64</v>
      </c>
      <c r="C96" s="212"/>
      <c r="N96" s="9"/>
      <c r="O96" s="9"/>
      <c r="P96" s="9"/>
      <c r="Q96" s="9"/>
      <c r="R96" s="9"/>
      <c r="S96" s="9"/>
      <c r="T96" s="34"/>
      <c r="U96" s="9"/>
    </row>
    <row r="97" spans="1:21" ht="15.75" thickBot="1">
      <c r="N97" s="9"/>
      <c r="O97" s="9"/>
      <c r="P97" s="9"/>
      <c r="Q97" s="9"/>
      <c r="R97" s="9"/>
      <c r="S97" s="9"/>
      <c r="T97" s="34"/>
      <c r="U97" s="9"/>
    </row>
    <row r="98" spans="1:21">
      <c r="B98" s="38"/>
      <c r="C98" s="38" t="s">
        <v>43</v>
      </c>
      <c r="D98" s="38" t="s">
        <v>44</v>
      </c>
      <c r="E98" s="38" t="s">
        <v>45</v>
      </c>
      <c r="F98" s="38" t="s">
        <v>46</v>
      </c>
      <c r="G98" s="38" t="s">
        <v>47</v>
      </c>
      <c r="H98" s="38" t="s">
        <v>48</v>
      </c>
      <c r="I98" s="38" t="s">
        <v>49</v>
      </c>
      <c r="J98" s="111" t="s">
        <v>50</v>
      </c>
      <c r="N98" s="9"/>
      <c r="O98" s="9"/>
      <c r="P98" s="9"/>
      <c r="Q98" s="9"/>
      <c r="R98" s="9"/>
      <c r="S98" s="9"/>
      <c r="T98" s="34"/>
      <c r="U98" s="9"/>
    </row>
    <row r="99" spans="1:21">
      <c r="B99" t="s">
        <v>43</v>
      </c>
      <c r="C99">
        <v>1</v>
      </c>
      <c r="N99" s="9"/>
      <c r="O99" s="9"/>
      <c r="P99" s="9"/>
      <c r="Q99" s="9"/>
      <c r="R99" s="9"/>
      <c r="S99" s="9"/>
      <c r="T99" s="34"/>
      <c r="U99" s="9"/>
    </row>
    <row r="100" spans="1:21">
      <c r="B100" t="s">
        <v>44</v>
      </c>
      <c r="C100">
        <v>0.61626795574382198</v>
      </c>
      <c r="D100">
        <v>1</v>
      </c>
      <c r="N100" s="9"/>
      <c r="O100" s="9"/>
      <c r="P100" s="9"/>
      <c r="Q100" s="9"/>
      <c r="R100" s="9"/>
      <c r="S100" s="9"/>
      <c r="T100" s="34"/>
      <c r="U100" s="9"/>
    </row>
    <row r="101" spans="1:21">
      <c r="B101" t="s">
        <v>45</v>
      </c>
      <c r="C101">
        <v>0.38552299967205</v>
      </c>
      <c r="D101" s="32">
        <v>0.81756804167407293</v>
      </c>
      <c r="E101">
        <v>1</v>
      </c>
      <c r="N101" s="9"/>
      <c r="O101" s="9"/>
      <c r="P101" s="9"/>
      <c r="Q101" s="9"/>
      <c r="R101" s="9"/>
      <c r="S101" s="9"/>
      <c r="T101" s="34"/>
      <c r="U101" s="9"/>
    </row>
    <row r="102" spans="1:21">
      <c r="B102" t="s">
        <v>46</v>
      </c>
      <c r="C102">
        <v>-0.54175850871309961</v>
      </c>
      <c r="D102">
        <v>-0.38780389502624735</v>
      </c>
      <c r="E102">
        <v>-0.34132368261970347</v>
      </c>
      <c r="F102">
        <v>1</v>
      </c>
      <c r="N102" s="9"/>
      <c r="O102" s="9"/>
      <c r="P102" s="9"/>
      <c r="Q102" s="9"/>
      <c r="R102" s="9"/>
      <c r="S102" s="9"/>
      <c r="T102" s="34"/>
      <c r="U102" s="9"/>
    </row>
    <row r="103" spans="1:21">
      <c r="A103" s="31"/>
      <c r="B103" t="s">
        <v>47</v>
      </c>
      <c r="C103">
        <v>0.21421182166167221</v>
      </c>
      <c r="D103">
        <v>0.29049492758840245</v>
      </c>
      <c r="E103">
        <v>0.51845235848826066</v>
      </c>
      <c r="F103">
        <v>-0.11941265770544071</v>
      </c>
      <c r="G103">
        <v>1</v>
      </c>
      <c r="L103" s="31"/>
      <c r="N103" s="19"/>
      <c r="O103" s="19"/>
      <c r="P103" s="19"/>
      <c r="Q103" s="19"/>
      <c r="R103" s="19"/>
      <c r="S103" s="19"/>
      <c r="T103" s="19"/>
      <c r="U103" s="19"/>
    </row>
    <row r="104" spans="1:21">
      <c r="A104" s="31"/>
      <c r="B104" t="s">
        <v>48</v>
      </c>
      <c r="C104">
        <v>-0.5640729458677235</v>
      </c>
      <c r="D104">
        <v>-0.24977452746679615</v>
      </c>
      <c r="E104">
        <v>4.5279046798724534E-2</v>
      </c>
      <c r="F104">
        <v>6.9209196317426919E-2</v>
      </c>
      <c r="G104">
        <v>0.33728903457085069</v>
      </c>
      <c r="H104">
        <v>1</v>
      </c>
      <c r="L104" s="31"/>
    </row>
    <row r="105" spans="1:21">
      <c r="A105" s="31"/>
      <c r="B105" t="s">
        <v>49</v>
      </c>
      <c r="C105">
        <v>4.4089018880150996E-3</v>
      </c>
      <c r="D105">
        <v>0.51930095739453375</v>
      </c>
      <c r="E105">
        <v>0.59251009931120202</v>
      </c>
      <c r="F105">
        <v>-0.51701072047364582</v>
      </c>
      <c r="G105">
        <v>0.38459255262561259</v>
      </c>
      <c r="H105">
        <v>0.41881161428672348</v>
      </c>
      <c r="I105">
        <v>1</v>
      </c>
      <c r="L105" s="31"/>
    </row>
    <row r="106" spans="1:21" ht="15.75" thickBot="1">
      <c r="A106" s="31"/>
      <c r="B106" s="37" t="s">
        <v>50</v>
      </c>
      <c r="C106" s="37">
        <v>-0.60772001392441055</v>
      </c>
      <c r="D106" s="37">
        <v>-0.52634371019033954</v>
      </c>
      <c r="E106" s="37">
        <v>-0.55834256188282849</v>
      </c>
      <c r="F106" s="37">
        <v>0.43308639154402517</v>
      </c>
      <c r="G106" s="37">
        <v>-0.47721842423481925</v>
      </c>
      <c r="H106" s="37">
        <v>0.18501699053978563</v>
      </c>
      <c r="I106" s="37">
        <v>-0.12090102846711366</v>
      </c>
      <c r="J106" s="37">
        <v>1</v>
      </c>
      <c r="L106" s="31"/>
      <c r="N106" s="19"/>
      <c r="O106" s="19"/>
      <c r="P106" s="19"/>
      <c r="Q106" s="19"/>
      <c r="R106" s="19"/>
      <c r="S106" s="19"/>
      <c r="T106" s="19"/>
      <c r="U106" s="19"/>
    </row>
    <row r="107" spans="1:21">
      <c r="A107" s="31"/>
      <c r="L107" s="31"/>
      <c r="N107" s="19"/>
      <c r="O107" s="19"/>
      <c r="P107" s="19"/>
      <c r="Q107" s="19"/>
      <c r="R107" s="19"/>
      <c r="S107" s="19"/>
      <c r="T107" s="19"/>
      <c r="U107" s="19"/>
    </row>
    <row r="108" spans="1:21">
      <c r="A108" s="31"/>
      <c r="L108" s="31"/>
    </row>
    <row r="109" spans="1:21">
      <c r="A109" s="31"/>
      <c r="B109" s="20" t="s">
        <v>65</v>
      </c>
      <c r="L109" s="31"/>
    </row>
    <row r="110" spans="1:21">
      <c r="A110" s="31"/>
      <c r="L110" s="31"/>
    </row>
    <row r="111" spans="1:21">
      <c r="A111" s="31"/>
      <c r="L111" s="31"/>
    </row>
    <row r="112" spans="1:21">
      <c r="A112" s="31"/>
      <c r="L112" s="31"/>
    </row>
    <row r="113" spans="1:21">
      <c r="A113" s="31"/>
      <c r="L113" s="31"/>
    </row>
    <row r="114" spans="1:21">
      <c r="A114" s="31"/>
      <c r="L114" s="31"/>
    </row>
    <row r="115" spans="1:21">
      <c r="A115" s="31"/>
      <c r="L115" s="31"/>
    </row>
    <row r="117" spans="1:21">
      <c r="B117" s="78"/>
      <c r="C117" s="78"/>
      <c r="D117" s="78"/>
      <c r="E117" s="78"/>
      <c r="F117" s="78"/>
      <c r="G117" s="78"/>
      <c r="H117" s="78"/>
      <c r="I117" s="78"/>
      <c r="J117" s="78"/>
      <c r="M117" s="78"/>
      <c r="N117" s="78"/>
      <c r="O117" s="78"/>
      <c r="P117" s="78"/>
      <c r="Q117" s="78"/>
      <c r="R117" s="78"/>
      <c r="S117" s="78"/>
      <c r="T117" s="78"/>
      <c r="U117" s="78"/>
    </row>
  </sheetData>
  <mergeCells count="226">
    <mergeCell ref="U13:V13"/>
    <mergeCell ref="B96:C96"/>
    <mergeCell ref="U17:V17"/>
    <mergeCell ref="X17:Y17"/>
    <mergeCell ref="F17:G17"/>
    <mergeCell ref="F18:G18"/>
    <mergeCell ref="I17:J17"/>
    <mergeCell ref="L17:M17"/>
    <mergeCell ref="O17:P17"/>
    <mergeCell ref="R17:S17"/>
    <mergeCell ref="U30:W30"/>
    <mergeCell ref="X30:Z30"/>
    <mergeCell ref="C31:E32"/>
    <mergeCell ref="F31:H32"/>
    <mergeCell ref="I31:K32"/>
    <mergeCell ref="L31:N32"/>
    <mergeCell ref="O31:Q32"/>
    <mergeCell ref="R31:T32"/>
    <mergeCell ref="U31:W32"/>
    <mergeCell ref="X31:Z32"/>
    <mergeCell ref="C33:D33"/>
    <mergeCell ref="F33:G33"/>
    <mergeCell ref="I33:J33"/>
    <mergeCell ref="L33:M33"/>
    <mergeCell ref="X16:Y16"/>
    <mergeCell ref="U16:V16"/>
    <mergeCell ref="O9:P9"/>
    <mergeCell ref="R9:S9"/>
    <mergeCell ref="U9:V9"/>
    <mergeCell ref="X11:Y11"/>
    <mergeCell ref="F12:G12"/>
    <mergeCell ref="I12:J12"/>
    <mergeCell ref="L12:M12"/>
    <mergeCell ref="O12:P12"/>
    <mergeCell ref="R12:S12"/>
    <mergeCell ref="U12:V12"/>
    <mergeCell ref="X12:Y12"/>
    <mergeCell ref="F11:G11"/>
    <mergeCell ref="I11:J11"/>
    <mergeCell ref="L11:M11"/>
    <mergeCell ref="O11:P11"/>
    <mergeCell ref="R11:S11"/>
    <mergeCell ref="U11:V11"/>
    <mergeCell ref="R16:S16"/>
    <mergeCell ref="O16:P16"/>
    <mergeCell ref="L16:M16"/>
    <mergeCell ref="I16:J16"/>
    <mergeCell ref="F16:G16"/>
    <mergeCell ref="F6:G6"/>
    <mergeCell ref="I6:J6"/>
    <mergeCell ref="L6:M6"/>
    <mergeCell ref="O6:P6"/>
    <mergeCell ref="F7:G7"/>
    <mergeCell ref="I7:J7"/>
    <mergeCell ref="L7:M7"/>
    <mergeCell ref="O7:P7"/>
    <mergeCell ref="C10:D10"/>
    <mergeCell ref="F8:G8"/>
    <mergeCell ref="I8:J8"/>
    <mergeCell ref="L8:M8"/>
    <mergeCell ref="O8:P8"/>
    <mergeCell ref="F10:G10"/>
    <mergeCell ref="I10:J10"/>
    <mergeCell ref="L10:M10"/>
    <mergeCell ref="O10:P10"/>
    <mergeCell ref="F9:G9"/>
    <mergeCell ref="I9:J9"/>
    <mergeCell ref="L9:M9"/>
    <mergeCell ref="C3:E3"/>
    <mergeCell ref="F3:H3"/>
    <mergeCell ref="I3:K3"/>
    <mergeCell ref="L3:N3"/>
    <mergeCell ref="U3:W3"/>
    <mergeCell ref="X3:Z3"/>
    <mergeCell ref="U15:V15"/>
    <mergeCell ref="R15:S15"/>
    <mergeCell ref="O15:P15"/>
    <mergeCell ref="L15:M15"/>
    <mergeCell ref="I15:J15"/>
    <mergeCell ref="F15:G15"/>
    <mergeCell ref="U4:W5"/>
    <mergeCell ref="X4:Z5"/>
    <mergeCell ref="C6:D6"/>
    <mergeCell ref="C7:D7"/>
    <mergeCell ref="C8:D8"/>
    <mergeCell ref="C9:D9"/>
    <mergeCell ref="R6:S6"/>
    <mergeCell ref="U6:V6"/>
    <mergeCell ref="X6:Y6"/>
    <mergeCell ref="R7:S7"/>
    <mergeCell ref="C4:E5"/>
    <mergeCell ref="F4:H5"/>
    <mergeCell ref="X15:Y15"/>
    <mergeCell ref="O3:Q3"/>
    <mergeCell ref="R3:T3"/>
    <mergeCell ref="I4:K5"/>
    <mergeCell ref="L4:N5"/>
    <mergeCell ref="O4:Q5"/>
    <mergeCell ref="R4:T5"/>
    <mergeCell ref="U7:V7"/>
    <mergeCell ref="X7:Y7"/>
    <mergeCell ref="R8:S8"/>
    <mergeCell ref="U8:V8"/>
    <mergeCell ref="X8:Y8"/>
    <mergeCell ref="X9:Y9"/>
    <mergeCell ref="R10:S10"/>
    <mergeCell ref="U10:V10"/>
    <mergeCell ref="X10:Y10"/>
    <mergeCell ref="X13:Y13"/>
    <mergeCell ref="I14:J14"/>
    <mergeCell ref="L14:M14"/>
    <mergeCell ref="O14:P14"/>
    <mergeCell ref="R14:S14"/>
    <mergeCell ref="U14:V14"/>
    <mergeCell ref="X14:Y14"/>
    <mergeCell ref="I13:J13"/>
    <mergeCell ref="C30:E30"/>
    <mergeCell ref="F30:H30"/>
    <mergeCell ref="I30:K30"/>
    <mergeCell ref="L30:N30"/>
    <mergeCell ref="O30:Q30"/>
    <mergeCell ref="R30:T30"/>
    <mergeCell ref="C16:D16"/>
    <mergeCell ref="C17:D17"/>
    <mergeCell ref="C11:D11"/>
    <mergeCell ref="C12:D12"/>
    <mergeCell ref="C13:D13"/>
    <mergeCell ref="C14:D14"/>
    <mergeCell ref="C15:D15"/>
    <mergeCell ref="F14:G14"/>
    <mergeCell ref="F13:G13"/>
    <mergeCell ref="L13:M13"/>
    <mergeCell ref="O13:P13"/>
    <mergeCell ref="R13:S13"/>
    <mergeCell ref="R33:S33"/>
    <mergeCell ref="U33:V33"/>
    <mergeCell ref="X33:Y33"/>
    <mergeCell ref="C34:D34"/>
    <mergeCell ref="F34:G34"/>
    <mergeCell ref="I34:J34"/>
    <mergeCell ref="L34:M34"/>
    <mergeCell ref="O34:P34"/>
    <mergeCell ref="R34:S34"/>
    <mergeCell ref="U34:V34"/>
    <mergeCell ref="X34:Y34"/>
    <mergeCell ref="O33:P33"/>
    <mergeCell ref="C35:D35"/>
    <mergeCell ref="F35:G35"/>
    <mergeCell ref="I35:J35"/>
    <mergeCell ref="L35:M35"/>
    <mergeCell ref="O35:P35"/>
    <mergeCell ref="R35:S35"/>
    <mergeCell ref="U35:V35"/>
    <mergeCell ref="X35:Y35"/>
    <mergeCell ref="C36:D36"/>
    <mergeCell ref="F36:G36"/>
    <mergeCell ref="I36:J36"/>
    <mergeCell ref="L36:M36"/>
    <mergeCell ref="O36:P36"/>
    <mergeCell ref="R36:S36"/>
    <mergeCell ref="U36:V36"/>
    <mergeCell ref="X36:Y36"/>
    <mergeCell ref="C37:D37"/>
    <mergeCell ref="F37:G37"/>
    <mergeCell ref="I37:J37"/>
    <mergeCell ref="L37:M37"/>
    <mergeCell ref="O37:P37"/>
    <mergeCell ref="R37:S37"/>
    <mergeCell ref="U37:V37"/>
    <mergeCell ref="X37:Y37"/>
    <mergeCell ref="C38:D38"/>
    <mergeCell ref="F38:G38"/>
    <mergeCell ref="I38:J38"/>
    <mergeCell ref="L38:M38"/>
    <mergeCell ref="O38:P38"/>
    <mergeCell ref="R38:S38"/>
    <mergeCell ref="U38:V38"/>
    <mergeCell ref="X38:Y38"/>
    <mergeCell ref="C39:D39"/>
    <mergeCell ref="F39:G39"/>
    <mergeCell ref="I39:J39"/>
    <mergeCell ref="L39:M39"/>
    <mergeCell ref="O39:P39"/>
    <mergeCell ref="R39:S39"/>
    <mergeCell ref="U39:V39"/>
    <mergeCell ref="X39:Y39"/>
    <mergeCell ref="C40:D40"/>
    <mergeCell ref="F40:G40"/>
    <mergeCell ref="I40:J40"/>
    <mergeCell ref="L40:M40"/>
    <mergeCell ref="O40:P40"/>
    <mergeCell ref="R40:S40"/>
    <mergeCell ref="U40:V40"/>
    <mergeCell ref="X40:Y40"/>
    <mergeCell ref="C41:D41"/>
    <mergeCell ref="F41:G41"/>
    <mergeCell ref="I41:J41"/>
    <mergeCell ref="L41:M41"/>
    <mergeCell ref="O41:P41"/>
    <mergeCell ref="R41:S41"/>
    <mergeCell ref="U41:V41"/>
    <mergeCell ref="X41:Y41"/>
    <mergeCell ref="C42:D42"/>
    <mergeCell ref="F42:G42"/>
    <mergeCell ref="I42:J42"/>
    <mergeCell ref="L42:M42"/>
    <mergeCell ref="O42:P42"/>
    <mergeCell ref="R42:S42"/>
    <mergeCell ref="U42:V42"/>
    <mergeCell ref="X42:Y42"/>
    <mergeCell ref="C43:D43"/>
    <mergeCell ref="F43:G43"/>
    <mergeCell ref="I43:J43"/>
    <mergeCell ref="L43:M43"/>
    <mergeCell ref="O43:P43"/>
    <mergeCell ref="R43:S43"/>
    <mergeCell ref="U43:V43"/>
    <mergeCell ref="X43:Y43"/>
    <mergeCell ref="C44:D44"/>
    <mergeCell ref="F44:G44"/>
    <mergeCell ref="I44:J44"/>
    <mergeCell ref="L44:M44"/>
    <mergeCell ref="O44:P44"/>
    <mergeCell ref="R44:S44"/>
    <mergeCell ref="U44:V44"/>
    <mergeCell ref="X44:Y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49BD-EFB5-44FF-8576-DA56E8630058}">
  <dimension ref="B16:AO221"/>
  <sheetViews>
    <sheetView topLeftCell="A40" zoomScale="85" zoomScaleNormal="85" workbookViewId="0">
      <selection activeCell="L65" sqref="L65"/>
    </sheetView>
  </sheetViews>
  <sheetFormatPr defaultRowHeight="15"/>
  <cols>
    <col min="3" max="3" width="14.7109375" customWidth="1"/>
    <col min="4" max="4" width="12.7109375" bestFit="1" customWidth="1"/>
    <col min="5" max="5" width="11.85546875" bestFit="1" customWidth="1"/>
    <col min="11" max="11" width="12.28515625" bestFit="1" customWidth="1"/>
    <col min="27" max="27" width="12.85546875" bestFit="1" customWidth="1"/>
    <col min="30" max="30" width="12.85546875" bestFit="1" customWidth="1"/>
  </cols>
  <sheetData>
    <row r="16" spans="13:22">
      <c r="M16" s="31"/>
      <c r="O16" s="19"/>
      <c r="P16" s="19"/>
      <c r="Q16" s="19"/>
      <c r="R16" s="19"/>
      <c r="S16" s="19"/>
      <c r="T16" s="19"/>
      <c r="U16" s="19"/>
      <c r="V16" s="19"/>
    </row>
    <row r="17" spans="2:40">
      <c r="M17" s="31"/>
    </row>
    <row r="18" spans="2:40">
      <c r="M18" s="31"/>
      <c r="Z18" s="20" t="s">
        <v>66</v>
      </c>
    </row>
    <row r="19" spans="2:40">
      <c r="M19" s="31"/>
      <c r="O19" s="19"/>
      <c r="P19" s="19"/>
      <c r="Q19" s="19"/>
      <c r="R19" s="19"/>
      <c r="S19" s="19"/>
      <c r="T19" s="19"/>
      <c r="U19" s="19"/>
      <c r="V19" s="19"/>
    </row>
    <row r="20" spans="2:40">
      <c r="M20" s="31"/>
      <c r="O20" s="19"/>
      <c r="P20" s="19"/>
      <c r="Q20" s="19"/>
      <c r="R20" s="19"/>
      <c r="S20" s="19"/>
      <c r="T20" s="19"/>
      <c r="U20" s="19"/>
      <c r="V20" s="19"/>
      <c r="AA20" s="49" t="s">
        <v>67</v>
      </c>
      <c r="AB20" s="50"/>
      <c r="AC20" s="51" t="s">
        <v>68</v>
      </c>
      <c r="AD20" s="52"/>
      <c r="AE20" s="49" t="s">
        <v>69</v>
      </c>
      <c r="AF20" s="50"/>
    </row>
    <row r="21" spans="2:40">
      <c r="M21" s="31"/>
      <c r="Q21" s="19"/>
      <c r="Z21" t="s">
        <v>54</v>
      </c>
      <c r="AA21" s="50">
        <f>MIN(M32:M55)</f>
        <v>0</v>
      </c>
      <c r="AB21" s="50">
        <v>4</v>
      </c>
      <c r="AC21" s="52">
        <f>MIN(Q32:Q55)</f>
        <v>1.6952530422140732E-2</v>
      </c>
      <c r="AD21" s="52">
        <v>4</v>
      </c>
      <c r="AE21" s="53">
        <f>AC57</f>
        <v>0.43593163310574534</v>
      </c>
      <c r="AF21" s="50">
        <v>4</v>
      </c>
    </row>
    <row r="22" spans="2:40">
      <c r="M22" s="31"/>
      <c r="Z22" t="s">
        <v>70</v>
      </c>
      <c r="AA22" s="50">
        <f>M57-M58</f>
        <v>7.0336604631492008E-2</v>
      </c>
      <c r="AB22" s="50">
        <v>3</v>
      </c>
      <c r="AC22" s="52">
        <f>Q57-Q58</f>
        <v>7.111338612795777E-2</v>
      </c>
      <c r="AD22" s="52">
        <v>3</v>
      </c>
      <c r="AE22" s="53">
        <f>AC58-AC59</f>
        <v>-0.15522696325965779</v>
      </c>
      <c r="AF22" s="50">
        <v>3</v>
      </c>
    </row>
    <row r="23" spans="2:40">
      <c r="M23" s="31"/>
      <c r="Z23" t="s">
        <v>51</v>
      </c>
      <c r="AA23" s="50">
        <f>M57</f>
        <v>0.19342691873045029</v>
      </c>
      <c r="AB23" s="50">
        <v>2</v>
      </c>
      <c r="AC23" s="52">
        <f>Q57</f>
        <v>0.19267366007463618</v>
      </c>
      <c r="AD23" s="52">
        <v>2</v>
      </c>
      <c r="AE23" s="53">
        <f>AC57</f>
        <v>0.43593163310574534</v>
      </c>
      <c r="AF23" s="50">
        <v>2</v>
      </c>
    </row>
    <row r="24" spans="2:40">
      <c r="M24" s="31"/>
      <c r="Z24" t="s">
        <v>71</v>
      </c>
      <c r="AA24" s="50">
        <f>M57+M58</f>
        <v>0.31651723282940858</v>
      </c>
      <c r="AB24" s="50">
        <v>1</v>
      </c>
      <c r="AC24" s="52">
        <f>Q57+Q58</f>
        <v>0.31423393402131461</v>
      </c>
      <c r="AD24" s="52">
        <v>1</v>
      </c>
      <c r="AE24" s="53">
        <f>AC57+AC58</f>
        <v>0.54692553061281812</v>
      </c>
      <c r="AF24" s="50">
        <v>1</v>
      </c>
    </row>
    <row r="25" spans="2:40">
      <c r="M25" s="31"/>
    </row>
    <row r="26" spans="2:40">
      <c r="M26" s="31"/>
    </row>
    <row r="27" spans="2:40">
      <c r="M27" s="31"/>
    </row>
    <row r="28" spans="2:40">
      <c r="M28" s="31"/>
    </row>
    <row r="29" spans="2:40" ht="15.75" thickBot="1"/>
    <row r="30" spans="2:40" ht="15.75" thickBot="1">
      <c r="L30" s="221" t="s">
        <v>72</v>
      </c>
      <c r="M30" s="221"/>
      <c r="N30" s="221"/>
      <c r="O30" s="221"/>
      <c r="P30" s="221" t="s">
        <v>73</v>
      </c>
      <c r="Q30" s="221"/>
      <c r="R30" s="221"/>
      <c r="S30" s="221"/>
      <c r="T30" s="222" t="s">
        <v>74</v>
      </c>
      <c r="U30" s="222"/>
      <c r="V30" s="222"/>
      <c r="W30" s="222"/>
      <c r="X30" s="222"/>
      <c r="Y30" s="222"/>
      <c r="Z30" s="222"/>
      <c r="AA30" s="222"/>
    </row>
    <row r="31" spans="2:40" ht="31.5" thickTop="1" thickBot="1">
      <c r="D31" s="47" t="s">
        <v>43</v>
      </c>
      <c r="E31" s="48" t="s">
        <v>44</v>
      </c>
      <c r="F31" s="48" t="s">
        <v>45</v>
      </c>
      <c r="G31" s="48" t="s">
        <v>46</v>
      </c>
      <c r="H31" s="48" t="s">
        <v>47</v>
      </c>
      <c r="I31" s="48" t="s">
        <v>48</v>
      </c>
      <c r="J31" s="48" t="s">
        <v>49</v>
      </c>
      <c r="K31" s="48" t="s">
        <v>50</v>
      </c>
      <c r="L31" s="59" t="s">
        <v>75</v>
      </c>
      <c r="M31" s="60" t="s">
        <v>76</v>
      </c>
      <c r="N31" s="61" t="s">
        <v>77</v>
      </c>
      <c r="O31" s="62" t="s">
        <v>78</v>
      </c>
      <c r="P31" s="59" t="s">
        <v>75</v>
      </c>
      <c r="Q31" s="60" t="s">
        <v>76</v>
      </c>
      <c r="R31" s="61" t="s">
        <v>79</v>
      </c>
      <c r="S31" s="62" t="s">
        <v>80</v>
      </c>
      <c r="T31" s="59" t="s">
        <v>81</v>
      </c>
      <c r="U31" s="61" t="s">
        <v>82</v>
      </c>
      <c r="V31" s="61" t="s">
        <v>83</v>
      </c>
      <c r="W31" s="61" t="s">
        <v>84</v>
      </c>
      <c r="X31" s="61" t="s">
        <v>85</v>
      </c>
      <c r="Y31" s="61" t="s">
        <v>86</v>
      </c>
      <c r="Z31" s="61" t="s">
        <v>87</v>
      </c>
      <c r="AA31" s="62" t="s">
        <v>88</v>
      </c>
      <c r="AB31" s="59" t="s">
        <v>89</v>
      </c>
      <c r="AC31" s="61" t="s">
        <v>90</v>
      </c>
      <c r="AD31" s="61" t="s">
        <v>91</v>
      </c>
      <c r="AE31" s="62" t="s">
        <v>92</v>
      </c>
      <c r="AF31" s="29"/>
      <c r="AG31" s="28" t="s">
        <v>77</v>
      </c>
      <c r="AH31" s="29" t="s">
        <v>79</v>
      </c>
      <c r="AI31" s="30" t="s">
        <v>91</v>
      </c>
      <c r="AK31" s="125">
        <v>2015</v>
      </c>
      <c r="AL31" s="38" t="s">
        <v>77</v>
      </c>
      <c r="AM31" s="38" t="s">
        <v>79</v>
      </c>
      <c r="AN31" s="38" t="s">
        <v>91</v>
      </c>
    </row>
    <row r="32" spans="2:40" ht="17.25" thickTop="1" thickBot="1">
      <c r="B32" s="220">
        <v>2015</v>
      </c>
      <c r="C32" s="41" t="s">
        <v>11</v>
      </c>
      <c r="D32" s="44">
        <f t="shared" ref="D32:K42" si="0">(D84-D$95)/D$96</f>
        <v>-1.7630119736069498</v>
      </c>
      <c r="E32" s="22">
        <f t="shared" si="0"/>
        <v>-1.3498917111767836</v>
      </c>
      <c r="F32" s="22">
        <f t="shared" si="0"/>
        <v>-0.59290439294199393</v>
      </c>
      <c r="G32" s="22">
        <f t="shared" si="0"/>
        <v>1.4401091139225803</v>
      </c>
      <c r="H32" s="22">
        <f t="shared" si="0"/>
        <v>-1.5158334362711499</v>
      </c>
      <c r="I32" s="22">
        <f t="shared" si="0"/>
        <v>0.44661719010605316</v>
      </c>
      <c r="J32" s="22">
        <f t="shared" si="0"/>
        <v>-1.4626610849924835</v>
      </c>
      <c r="K32" s="22">
        <f t="shared" si="0"/>
        <v>0.4853700933558604</v>
      </c>
      <c r="L32" s="54" cm="1">
        <f t="array" ref="L32">SQRT(SUMPRODUCT((D32:K32-D$61:K$61)^2, D$63:K$63))</f>
        <v>2.730542499146392</v>
      </c>
      <c r="M32" s="31">
        <f>1-(L32/L$61)</f>
        <v>0</v>
      </c>
      <c r="N32">
        <f>_xlfn.RANK.AVG(M32,$M$32:$M$42)</f>
        <v>11</v>
      </c>
      <c r="O32" s="24">
        <f>VLOOKUP(M32,AA$21:AB$24,2,1)</f>
        <v>4</v>
      </c>
      <c r="P32" s="45" cm="1">
        <f t="array" ref="P32">SQRT(SUMPRODUCT((D32:K32-D$61:K$61)^2, D$64:K$64))</f>
        <v>2.6842528943606645</v>
      </c>
      <c r="Q32">
        <f>1-(P32/$L$61)</f>
        <v>1.6952530422140732E-2</v>
      </c>
      <c r="R32">
        <f>_xlfn.RANK.AVG(Q32,$Q$32:$Q$42)</f>
        <v>11</v>
      </c>
      <c r="S32" s="24">
        <f>VLOOKUP(Q32,$AC$21:$AD$24,2,1)</f>
        <v>4</v>
      </c>
      <c r="T32" s="45">
        <f t="shared" ref="T32:AA32" si="1">D32+ABS(D$60)</f>
        <v>0</v>
      </c>
      <c r="U32">
        <f t="shared" si="1"/>
        <v>5.0420403473500297E-2</v>
      </c>
      <c r="V32">
        <f t="shared" si="1"/>
        <v>0.9452843570812095</v>
      </c>
      <c r="W32">
        <f t="shared" si="1"/>
        <v>2.8679201141481285</v>
      </c>
      <c r="X32">
        <f t="shared" si="1"/>
        <v>0</v>
      </c>
      <c r="Y32">
        <f t="shared" si="1"/>
        <v>1.8176202247833912</v>
      </c>
      <c r="Z32">
        <f t="shared" si="1"/>
        <v>0.13659091844287818</v>
      </c>
      <c r="AA32" s="24">
        <f t="shared" si="1"/>
        <v>2.0789303113649238</v>
      </c>
      <c r="AB32" s="45">
        <f>SUM(T32:AA32)</f>
        <v>7.8967663292940316</v>
      </c>
      <c r="AC32">
        <f>AB32/$T$58</f>
        <v>0.2819606837079317</v>
      </c>
      <c r="AD32">
        <f>_xlfn.RANK.AVG(AB32,$AB$32:$AB$42)</f>
        <v>11</v>
      </c>
      <c r="AE32" s="24">
        <f>VLOOKUP(AC32,$AE$21:$AF$24,2,1)</f>
        <v>3</v>
      </c>
      <c r="AG32" s="45">
        <v>11</v>
      </c>
      <c r="AH32">
        <v>11</v>
      </c>
      <c r="AI32" s="24">
        <v>11</v>
      </c>
      <c r="AK32" t="s">
        <v>77</v>
      </c>
      <c r="AL32">
        <v>1</v>
      </c>
    </row>
    <row r="33" spans="2:40" ht="15.75" thickBot="1">
      <c r="B33" s="220"/>
      <c r="C33" s="24" t="s">
        <v>12</v>
      </c>
      <c r="D33" s="45">
        <f t="shared" si="0"/>
        <v>-1.2267959053324158</v>
      </c>
      <c r="E33">
        <f t="shared" si="0"/>
        <v>6.1879586081102597E-2</v>
      </c>
      <c r="F33">
        <f t="shared" si="0"/>
        <v>-0.86004997211711842</v>
      </c>
      <c r="G33">
        <f t="shared" si="0"/>
        <v>0.95310381152006773</v>
      </c>
      <c r="H33">
        <f t="shared" si="0"/>
        <v>-0.75811315443401162</v>
      </c>
      <c r="I33">
        <f t="shared" si="0"/>
        <v>-0.79740976702028432</v>
      </c>
      <c r="J33">
        <f t="shared" si="0"/>
        <v>0.68864588048284259</v>
      </c>
      <c r="K33">
        <f t="shared" si="0"/>
        <v>1.4303384167035533</v>
      </c>
      <c r="L33" s="45" cm="1">
        <f t="array" ref="L33">SQRT(SUMPRODUCT((D33:K33-D$61:K$61)^2, D$63:K$63))</f>
        <v>2.2130676041432196</v>
      </c>
      <c r="M33" s="31">
        <f t="shared" ref="M33:M41" si="2">1-(L33/L$61)</f>
        <v>0.18951358389951545</v>
      </c>
      <c r="N33">
        <f>_xlfn.RANK.AVG(M33,$M$32:$M$42)</f>
        <v>7</v>
      </c>
      <c r="O33" s="24">
        <f t="shared" ref="O33:O41" si="3">VLOOKUP(M33,AA$21:AB$24,2,1)</f>
        <v>3</v>
      </c>
      <c r="P33" s="45" cm="1">
        <f t="array" ref="P33">SQRT(SUMPRODUCT((D33:K33-D$61:K$61)^2, D$64:K$64))</f>
        <v>2.2240968356948936</v>
      </c>
      <c r="Q33">
        <f t="shared" ref="Q33:Q41" si="4">1-(P33/$L$61)</f>
        <v>0.18547437500416886</v>
      </c>
      <c r="R33">
        <f t="shared" ref="R33:R41" si="5">_xlfn.RANK.AVG(Q33,$Q$32:$Q$42)</f>
        <v>7</v>
      </c>
      <c r="S33" s="24">
        <f t="shared" ref="S33:S42" si="6">VLOOKUP(Q33,$AC$21:$AD$24,2,1)</f>
        <v>3</v>
      </c>
      <c r="T33" s="45">
        <f t="shared" ref="T33:T41" si="7">D33+ABS(D$60)</f>
        <v>0.53621606827453405</v>
      </c>
      <c r="U33">
        <f t="shared" ref="U33:U42" si="8">E33+ABS(E$60)</f>
        <v>1.4621917007313865</v>
      </c>
      <c r="V33">
        <f t="shared" ref="V33:V41" si="9">F33+ABS(F$60)</f>
        <v>0.67813877790608501</v>
      </c>
      <c r="W33">
        <f t="shared" ref="W33:W42" si="10">G33+ABS(G$60)</f>
        <v>2.3809148117456158</v>
      </c>
      <c r="X33">
        <f t="shared" ref="X33:X41" si="11">H33+ABS(H$60)</f>
        <v>0.75772028183713824</v>
      </c>
      <c r="Y33">
        <f t="shared" ref="Y33:Y41" si="12">I33+ABS(I$60)</f>
        <v>0.57359326765705376</v>
      </c>
      <c r="Z33">
        <f t="shared" ref="Z33:Z41" si="13">J33+ABS(J$60)</f>
        <v>2.2878978839182045</v>
      </c>
      <c r="AA33" s="24">
        <f t="shared" ref="AA33:AA41" si="14">K33+ABS(K$60)</f>
        <v>3.0238986347126167</v>
      </c>
      <c r="AB33" s="45">
        <f>SUM(T33:AA33)</f>
        <v>11.700571426782634</v>
      </c>
      <c r="AC33">
        <f t="shared" ref="AC33:AC41" si="15">AB33/$T$58</f>
        <v>0.41777874407030352</v>
      </c>
      <c r="AD33">
        <f t="shared" ref="AD33:AD41" si="16">_xlfn.RANK.AVG(AB33,$AB$32:$AB$42)</f>
        <v>7</v>
      </c>
      <c r="AE33" s="24">
        <f t="shared" ref="AE33:AE42" si="17">VLOOKUP(AC33,$AE$21:$AF$24,2,1)</f>
        <v>3</v>
      </c>
      <c r="AG33" s="45">
        <v>8</v>
      </c>
      <c r="AH33">
        <v>9</v>
      </c>
      <c r="AI33" s="24">
        <v>8</v>
      </c>
      <c r="AK33" t="s">
        <v>79</v>
      </c>
      <c r="AL33">
        <v>0.95454545454545436</v>
      </c>
      <c r="AM33">
        <v>1</v>
      </c>
    </row>
    <row r="34" spans="2:40" ht="15.75" thickBot="1">
      <c r="B34" s="220"/>
      <c r="C34" s="24" t="s">
        <v>13</v>
      </c>
      <c r="D34" s="45">
        <f t="shared" si="0"/>
        <v>-7.4389623575077321E-2</v>
      </c>
      <c r="E34">
        <f t="shared" si="0"/>
        <v>0.66692442776305594</v>
      </c>
      <c r="F34">
        <f t="shared" si="0"/>
        <v>1.3798629609666173</v>
      </c>
      <c r="G34">
        <f t="shared" si="0"/>
        <v>-1.2113641991577648</v>
      </c>
      <c r="H34">
        <f t="shared" si="0"/>
        <v>1.7570572107516216</v>
      </c>
      <c r="I34">
        <f t="shared" si="0"/>
        <v>1.9364698333711281</v>
      </c>
      <c r="J34">
        <f t="shared" si="0"/>
        <v>1.986259605690182</v>
      </c>
      <c r="K34">
        <f t="shared" si="0"/>
        <v>-0.64859189466137079</v>
      </c>
      <c r="L34" s="45" cm="1">
        <f t="array" ref="L34">SQRT(SUMPRODUCT((D34:K34-D$61:K$61)^2, D$63:K$63))</f>
        <v>1.7355024938925383</v>
      </c>
      <c r="M34" s="31">
        <f>1-(L34/L$61)</f>
        <v>0.36441110349497141</v>
      </c>
      <c r="N34">
        <f t="shared" ref="N34:N41" si="18">_xlfn.RANK.AVG(M34,$M$32:$M$42)</f>
        <v>2</v>
      </c>
      <c r="O34" s="24">
        <f t="shared" si="3"/>
        <v>1</v>
      </c>
      <c r="P34" s="45" cm="1">
        <f t="array" ref="P34">SQRT(SUMPRODUCT((D34:K34-D$61:K$61)^2, D$64:K$64))</f>
        <v>1.7277863889924796</v>
      </c>
      <c r="Q34">
        <f t="shared" si="4"/>
        <v>0.36723695399994283</v>
      </c>
      <c r="R34">
        <f t="shared" si="5"/>
        <v>3</v>
      </c>
      <c r="S34" s="24">
        <f t="shared" si="6"/>
        <v>1</v>
      </c>
      <c r="T34" s="45">
        <f t="shared" si="7"/>
        <v>1.6886223500318724</v>
      </c>
      <c r="U34">
        <f t="shared" si="8"/>
        <v>2.0672365424133399</v>
      </c>
      <c r="V34">
        <f t="shared" si="9"/>
        <v>2.918051710989821</v>
      </c>
      <c r="W34">
        <f t="shared" si="10"/>
        <v>0.21644680106778336</v>
      </c>
      <c r="X34">
        <f t="shared" si="11"/>
        <v>3.2728906470227717</v>
      </c>
      <c r="Y34">
        <f t="shared" si="12"/>
        <v>3.3074728680484662</v>
      </c>
      <c r="Z34">
        <f t="shared" si="13"/>
        <v>3.5855116091255437</v>
      </c>
      <c r="AA34" s="24">
        <f t="shared" si="14"/>
        <v>0.94496832334769276</v>
      </c>
      <c r="AB34" s="45">
        <f t="shared" ref="AB34:AB41" si="19">SUM(T34:AA34)</f>
        <v>18.00120085204729</v>
      </c>
      <c r="AC34">
        <f t="shared" si="15"/>
        <v>0.64274801711915619</v>
      </c>
      <c r="AD34">
        <f t="shared" si="16"/>
        <v>1</v>
      </c>
      <c r="AE34" s="24">
        <f t="shared" si="17"/>
        <v>1</v>
      </c>
      <c r="AG34" s="45">
        <v>3</v>
      </c>
      <c r="AH34">
        <v>2</v>
      </c>
      <c r="AI34" s="24">
        <v>1</v>
      </c>
      <c r="AK34" s="37" t="s">
        <v>91</v>
      </c>
      <c r="AL34" s="37">
        <v>0.90909090909090906</v>
      </c>
      <c r="AM34" s="37">
        <v>0.88181818181818172</v>
      </c>
      <c r="AN34" s="37">
        <v>1</v>
      </c>
    </row>
    <row r="35" spans="2:40" ht="15.75" thickBot="1">
      <c r="B35" s="220"/>
      <c r="C35" s="24" t="s">
        <v>15</v>
      </c>
      <c r="D35" s="45">
        <f t="shared" si="0"/>
        <v>-0.56563747758340521</v>
      </c>
      <c r="E35">
        <f t="shared" si="0"/>
        <v>0.31398160344858256</v>
      </c>
      <c r="F35">
        <f t="shared" si="0"/>
        <v>0.41402894394885975</v>
      </c>
      <c r="G35">
        <f t="shared" si="0"/>
        <v>0.38493095871713712</v>
      </c>
      <c r="H35">
        <f t="shared" si="0"/>
        <v>2.039401650371544</v>
      </c>
      <c r="I35">
        <f t="shared" si="0"/>
        <v>1.5491081461222085</v>
      </c>
      <c r="J35">
        <f t="shared" si="0"/>
        <v>0.77970649277809412</v>
      </c>
      <c r="K35">
        <f t="shared" si="0"/>
        <v>-1.5935602180090636</v>
      </c>
      <c r="L35" s="45" cm="1">
        <f t="array" ref="L35">SQRT(SUMPRODUCT((D35:K35-D$61:K$61)^2, D$63:K$63))</f>
        <v>1.8479951159039278</v>
      </c>
      <c r="M35" s="31">
        <f t="shared" si="2"/>
        <v>0.32321320159578604</v>
      </c>
      <c r="N35">
        <f t="shared" si="18"/>
        <v>4</v>
      </c>
      <c r="O35" s="24">
        <f t="shared" si="3"/>
        <v>1</v>
      </c>
      <c r="P35" s="45" cm="1">
        <f t="array" ref="P35">SQRT(SUMPRODUCT((D35:K35-D$61:K$61)^2, D$64:K$64))</f>
        <v>1.7879315750171525</v>
      </c>
      <c r="Q35">
        <f t="shared" si="4"/>
        <v>0.34521012744680357</v>
      </c>
      <c r="R35">
        <f t="shared" si="5"/>
        <v>4</v>
      </c>
      <c r="S35" s="24">
        <f t="shared" si="6"/>
        <v>1</v>
      </c>
      <c r="T35" s="45">
        <f t="shared" si="7"/>
        <v>1.1973744960235446</v>
      </c>
      <c r="U35">
        <f t="shared" si="8"/>
        <v>1.7142937180988664</v>
      </c>
      <c r="V35">
        <f t="shared" si="9"/>
        <v>1.9522176939720632</v>
      </c>
      <c r="W35">
        <f t="shared" si="10"/>
        <v>1.8127419589426852</v>
      </c>
      <c r="X35">
        <f t="shared" si="11"/>
        <v>3.5552350866426936</v>
      </c>
      <c r="Y35">
        <f t="shared" si="12"/>
        <v>2.9201111807995463</v>
      </c>
      <c r="Z35">
        <f t="shared" si="13"/>
        <v>2.378958496213456</v>
      </c>
      <c r="AA35" s="24">
        <f t="shared" si="14"/>
        <v>0</v>
      </c>
      <c r="AB35" s="45">
        <f t="shared" si="19"/>
        <v>15.530932630692856</v>
      </c>
      <c r="AC35">
        <f t="shared" si="15"/>
        <v>0.55454501254863331</v>
      </c>
      <c r="AD35">
        <f t="shared" si="16"/>
        <v>4</v>
      </c>
      <c r="AE35" s="24">
        <f t="shared" si="17"/>
        <v>1</v>
      </c>
      <c r="AG35" s="45">
        <v>4</v>
      </c>
      <c r="AH35">
        <v>4</v>
      </c>
      <c r="AI35" s="24">
        <v>4</v>
      </c>
    </row>
    <row r="36" spans="2:40" ht="15.75" thickBot="1">
      <c r="B36" s="220"/>
      <c r="C36" s="24" t="s">
        <v>16</v>
      </c>
      <c r="D36" s="45">
        <f t="shared" si="0"/>
        <v>-0.6663638252853501</v>
      </c>
      <c r="E36">
        <f t="shared" si="0"/>
        <v>-1.4003121146502839</v>
      </c>
      <c r="F36">
        <f t="shared" si="0"/>
        <v>-1.2299438509749829</v>
      </c>
      <c r="G36">
        <f t="shared" si="0"/>
        <v>-0.8325822972891439</v>
      </c>
      <c r="H36">
        <f t="shared" si="0"/>
        <v>-0.76387528585482645</v>
      </c>
      <c r="I36">
        <f t="shared" si="0"/>
        <v>0.74458771875906815</v>
      </c>
      <c r="J36">
        <f t="shared" si="0"/>
        <v>0.1195170536375182</v>
      </c>
      <c r="K36">
        <f t="shared" si="0"/>
        <v>1.5563341931499124</v>
      </c>
      <c r="L36" s="45" cm="1">
        <f t="array" ref="L36">SQRT(SUMPRODUCT((D36:K36-D$61:K$61)^2, D$63:K$63))</f>
        <v>2.5288775869232487</v>
      </c>
      <c r="M36" s="31">
        <f t="shared" si="2"/>
        <v>7.385525487561051E-2</v>
      </c>
      <c r="N36">
        <f t="shared" si="18"/>
        <v>9</v>
      </c>
      <c r="O36" s="24">
        <f t="shared" si="3"/>
        <v>3</v>
      </c>
      <c r="P36" s="45" cm="1">
        <f t="array" ref="P36">SQRT(SUMPRODUCT((D36:K36-D$61:K$61)^2, D$64:K$64))</f>
        <v>2.472565731916331</v>
      </c>
      <c r="Q36">
        <f t="shared" si="4"/>
        <v>9.4478209846837524E-2</v>
      </c>
      <c r="R36">
        <f t="shared" si="5"/>
        <v>9</v>
      </c>
      <c r="S36" s="24">
        <f t="shared" si="6"/>
        <v>3</v>
      </c>
      <c r="T36" s="45">
        <f t="shared" si="7"/>
        <v>1.0966481483215997</v>
      </c>
      <c r="U36">
        <f t="shared" si="8"/>
        <v>0</v>
      </c>
      <c r="V36">
        <f t="shared" si="9"/>
        <v>0.3082448990482205</v>
      </c>
      <c r="W36">
        <f t="shared" si="10"/>
        <v>0.59522870293640429</v>
      </c>
      <c r="X36">
        <f t="shared" si="11"/>
        <v>0.75195815041632341</v>
      </c>
      <c r="Y36">
        <f t="shared" si="12"/>
        <v>2.1155907534364062</v>
      </c>
      <c r="Z36">
        <f t="shared" si="13"/>
        <v>1.71876905707288</v>
      </c>
      <c r="AA36" s="24">
        <f t="shared" si="14"/>
        <v>3.1498944111589759</v>
      </c>
      <c r="AB36" s="45">
        <f t="shared" si="19"/>
        <v>9.7363341223908098</v>
      </c>
      <c r="AC36">
        <f t="shared" si="15"/>
        <v>0.34764399900935189</v>
      </c>
      <c r="AD36">
        <f t="shared" si="16"/>
        <v>10</v>
      </c>
      <c r="AE36" s="24">
        <f t="shared" si="17"/>
        <v>3</v>
      </c>
      <c r="AG36" s="45">
        <v>9</v>
      </c>
      <c r="AH36">
        <v>8</v>
      </c>
      <c r="AI36" s="24">
        <v>10</v>
      </c>
    </row>
    <row r="37" spans="2:40" ht="15.75" thickBot="1">
      <c r="B37" s="220"/>
      <c r="C37" s="24" t="s">
        <v>17</v>
      </c>
      <c r="D37" s="45">
        <f t="shared" si="0"/>
        <v>-1.1855060726012774</v>
      </c>
      <c r="E37">
        <f t="shared" si="0"/>
        <v>-1.2994713077032907</v>
      </c>
      <c r="F37">
        <f t="shared" si="0"/>
        <v>-0.40795745351306151</v>
      </c>
      <c r="G37">
        <f t="shared" si="0"/>
        <v>-0.34557699488663179</v>
      </c>
      <c r="H37">
        <f t="shared" si="0"/>
        <v>9.46822958465693E-2</v>
      </c>
      <c r="I37">
        <f t="shared" si="0"/>
        <v>0.50621129583665592</v>
      </c>
      <c r="J37">
        <f t="shared" si="0"/>
        <v>5.1221594416079111E-2</v>
      </c>
      <c r="K37">
        <f t="shared" si="0"/>
        <v>1.1153489755876556</v>
      </c>
      <c r="L37" s="45" cm="1">
        <f t="array" ref="L37">SQRT(SUMPRODUCT((D37:K37-D$61:K$61)^2, D$63:K$63))</f>
        <v>2.3157152711591142</v>
      </c>
      <c r="M37" s="31">
        <f t="shared" si="2"/>
        <v>0.15192117614611711</v>
      </c>
      <c r="N37">
        <f>_xlfn.RANK.AVG(M37,$M$32:$M$42)</f>
        <v>8</v>
      </c>
      <c r="O37" s="24">
        <f t="shared" si="3"/>
        <v>3</v>
      </c>
      <c r="P37" s="45" cm="1">
        <f t="array" ref="P37">SQRT(SUMPRODUCT((D37:K37-D$61:K$61)^2, D$64:K$64))</f>
        <v>2.2584411301616494</v>
      </c>
      <c r="Q37">
        <f t="shared" si="4"/>
        <v>0.17289654679695643</v>
      </c>
      <c r="R37">
        <f t="shared" si="5"/>
        <v>8</v>
      </c>
      <c r="S37" s="24">
        <f t="shared" si="6"/>
        <v>3</v>
      </c>
      <c r="T37" s="45">
        <f t="shared" si="7"/>
        <v>0.57750590100567245</v>
      </c>
      <c r="U37">
        <f t="shared" si="8"/>
        <v>0.10084080694699327</v>
      </c>
      <c r="V37">
        <f t="shared" si="9"/>
        <v>1.130231296510142</v>
      </c>
      <c r="W37">
        <f t="shared" si="10"/>
        <v>1.0822340053389163</v>
      </c>
      <c r="X37">
        <f t="shared" si="11"/>
        <v>1.6105157321177193</v>
      </c>
      <c r="Y37">
        <f t="shared" si="12"/>
        <v>1.8772143305139939</v>
      </c>
      <c r="Z37">
        <f t="shared" si="13"/>
        <v>1.6504735978514409</v>
      </c>
      <c r="AA37" s="24">
        <f t="shared" si="14"/>
        <v>2.7089091935967193</v>
      </c>
      <c r="AB37" s="45">
        <f>SUM(T37:AA37)</f>
        <v>10.737924863881597</v>
      </c>
      <c r="AC37">
        <f t="shared" si="15"/>
        <v>0.38340663886595305</v>
      </c>
      <c r="AD37">
        <f t="shared" si="16"/>
        <v>8</v>
      </c>
      <c r="AE37" s="24">
        <f t="shared" si="17"/>
        <v>3</v>
      </c>
      <c r="AG37" s="45">
        <v>7</v>
      </c>
      <c r="AH37">
        <v>7</v>
      </c>
      <c r="AI37" s="24">
        <v>9</v>
      </c>
    </row>
    <row r="38" spans="2:40" ht="15.75" thickBot="1">
      <c r="B38" s="220"/>
      <c r="C38" s="24" t="s">
        <v>18</v>
      </c>
      <c r="D38" s="45">
        <f t="shared" si="0"/>
        <v>-0.87669061614259103</v>
      </c>
      <c r="E38">
        <f t="shared" si="0"/>
        <v>-0.84568767644182385</v>
      </c>
      <c r="F38">
        <f t="shared" si="0"/>
        <v>0.20853234458337966</v>
      </c>
      <c r="G38">
        <f t="shared" si="0"/>
        <v>1.3589415635221613</v>
      </c>
      <c r="H38">
        <f t="shared" si="0"/>
        <v>1.5208098224982172</v>
      </c>
      <c r="I38">
        <f t="shared" si="0"/>
        <v>1.4895140403916056</v>
      </c>
      <c r="J38">
        <f t="shared" si="0"/>
        <v>-1.7073864805359974E-2</v>
      </c>
      <c r="K38">
        <f t="shared" si="0"/>
        <v>1.0523510873644757</v>
      </c>
      <c r="L38" s="45" cm="1">
        <f t="array" ref="L38">SQRT(SUMPRODUCT((D38:K38-D$61:K$61)^2, D$63:K$63))</f>
        <v>1.7527506251624598</v>
      </c>
      <c r="M38" s="31">
        <f t="shared" si="2"/>
        <v>0.3580943619407515</v>
      </c>
      <c r="N38">
        <f t="shared" si="18"/>
        <v>3</v>
      </c>
      <c r="O38" s="24">
        <f t="shared" si="3"/>
        <v>1</v>
      </c>
      <c r="P38" s="45" cm="1">
        <f t="array" ref="P38">SQRT(SUMPRODUCT((D38:K38-D$61:K$61)^2, D$64:K$64))</f>
        <v>1.6668327142890957</v>
      </c>
      <c r="Q38">
        <f t="shared" si="4"/>
        <v>0.38955987141376769</v>
      </c>
      <c r="R38">
        <f t="shared" si="5"/>
        <v>2</v>
      </c>
      <c r="S38" s="24">
        <f t="shared" si="6"/>
        <v>1</v>
      </c>
      <c r="T38" s="45">
        <f t="shared" si="7"/>
        <v>0.88632135746435881</v>
      </c>
      <c r="U38">
        <f t="shared" si="8"/>
        <v>0.55462443820846008</v>
      </c>
      <c r="V38">
        <f t="shared" si="9"/>
        <v>1.746721094606583</v>
      </c>
      <c r="W38">
        <f t="shared" si="10"/>
        <v>2.7867525637477097</v>
      </c>
      <c r="X38">
        <f t="shared" si="11"/>
        <v>3.036643258769367</v>
      </c>
      <c r="Y38">
        <f t="shared" si="12"/>
        <v>2.8605170750689437</v>
      </c>
      <c r="Z38">
        <f t="shared" si="13"/>
        <v>1.5821781386300018</v>
      </c>
      <c r="AA38" s="24">
        <f t="shared" si="14"/>
        <v>2.6459113053735392</v>
      </c>
      <c r="AB38" s="45">
        <f t="shared" si="19"/>
        <v>16.099669231868962</v>
      </c>
      <c r="AC38">
        <f t="shared" si="15"/>
        <v>0.5748522312544041</v>
      </c>
      <c r="AD38">
        <f t="shared" si="16"/>
        <v>3</v>
      </c>
      <c r="AE38" s="24">
        <f t="shared" si="17"/>
        <v>1</v>
      </c>
      <c r="AG38" s="45">
        <v>2</v>
      </c>
      <c r="AH38">
        <v>1</v>
      </c>
      <c r="AI38" s="24">
        <v>3</v>
      </c>
    </row>
    <row r="39" spans="2:40" ht="15.75" thickBot="1">
      <c r="B39" s="220"/>
      <c r="C39" s="24" t="s">
        <v>19</v>
      </c>
      <c r="D39" s="45">
        <f t="shared" si="0"/>
        <v>-0.87075922591729438</v>
      </c>
      <c r="E39">
        <f t="shared" si="0"/>
        <v>6.1879586081102597E-2</v>
      </c>
      <c r="F39">
        <f t="shared" si="0"/>
        <v>-0.49015609325925369</v>
      </c>
      <c r="G39">
        <f t="shared" si="0"/>
        <v>-0.45380039542052353</v>
      </c>
      <c r="H39">
        <f t="shared" si="0"/>
        <v>-0.3691692835290169</v>
      </c>
      <c r="I39">
        <f t="shared" si="0"/>
        <v>1.1617464588732893</v>
      </c>
      <c r="J39">
        <f t="shared" si="0"/>
        <v>0.90491483468406564</v>
      </c>
      <c r="K39">
        <f t="shared" si="0"/>
        <v>-1.8613012429575623E-2</v>
      </c>
      <c r="L39" s="45" cm="1">
        <f t="array" ref="L39">SQRT(SUMPRODUCT((D39:K39-D$61:K$61)^2, D$63:K$63))</f>
        <v>2.092193147577925</v>
      </c>
      <c r="M39" s="31">
        <f t="shared" si="2"/>
        <v>0.23378114487067114</v>
      </c>
      <c r="N39">
        <f t="shared" si="18"/>
        <v>5</v>
      </c>
      <c r="O39" s="24">
        <f t="shared" si="3"/>
        <v>2</v>
      </c>
      <c r="P39" s="45" cm="1">
        <f t="array" ref="P39">SQRT(SUMPRODUCT((D39:K39-D$61:K$61)^2, D$64:K$64))</f>
        <v>2.060167120932741</v>
      </c>
      <c r="Q39">
        <f t="shared" si="4"/>
        <v>0.2455099594396426</v>
      </c>
      <c r="R39">
        <f t="shared" si="5"/>
        <v>5</v>
      </c>
      <c r="S39" s="24">
        <f t="shared" si="6"/>
        <v>2</v>
      </c>
      <c r="T39" s="45">
        <f t="shared" si="7"/>
        <v>0.89225274768965546</v>
      </c>
      <c r="U39">
        <f t="shared" si="8"/>
        <v>1.4621917007313865</v>
      </c>
      <c r="V39">
        <f t="shared" si="9"/>
        <v>1.0480326567639497</v>
      </c>
      <c r="W39">
        <f t="shared" si="10"/>
        <v>0.97401060480502466</v>
      </c>
      <c r="X39">
        <f t="shared" si="11"/>
        <v>1.1466641527421331</v>
      </c>
      <c r="Y39">
        <f t="shared" si="12"/>
        <v>2.5327494935506274</v>
      </c>
      <c r="Z39">
        <f t="shared" si="13"/>
        <v>2.5041668381194273</v>
      </c>
      <c r="AA39" s="24">
        <f t="shared" si="14"/>
        <v>1.574947205579488</v>
      </c>
      <c r="AB39" s="45">
        <f t="shared" si="19"/>
        <v>12.135015399981691</v>
      </c>
      <c r="AC39">
        <f t="shared" si="15"/>
        <v>0.43329093154146903</v>
      </c>
      <c r="AD39">
        <f t="shared" si="16"/>
        <v>6</v>
      </c>
      <c r="AE39" s="24">
        <f t="shared" si="17"/>
        <v>3</v>
      </c>
      <c r="AG39" s="45">
        <v>6</v>
      </c>
      <c r="AH39">
        <v>5</v>
      </c>
      <c r="AI39" s="24">
        <v>6</v>
      </c>
      <c r="AK39" s="20" t="s">
        <v>93</v>
      </c>
    </row>
    <row r="40" spans="2:40" ht="15.75" thickBot="1">
      <c r="B40" s="220"/>
      <c r="C40" s="24" t="s">
        <v>20</v>
      </c>
      <c r="D40" s="45">
        <f t="shared" si="0"/>
        <v>-1.4630093062426974</v>
      </c>
      <c r="E40">
        <f t="shared" si="0"/>
        <v>-1.2490509042297904</v>
      </c>
      <c r="F40">
        <f t="shared" si="0"/>
        <v>-1.5381887500232034</v>
      </c>
      <c r="G40">
        <f t="shared" si="0"/>
        <v>2.3329521683271865</v>
      </c>
      <c r="H40">
        <f t="shared" si="0"/>
        <v>-0.79844807437971488</v>
      </c>
      <c r="I40">
        <f t="shared" si="0"/>
        <v>0.9531670888161784</v>
      </c>
      <c r="J40">
        <f t="shared" si="0"/>
        <v>-1.5992520034353617</v>
      </c>
      <c r="K40">
        <f t="shared" si="0"/>
        <v>1.7768268019310405</v>
      </c>
      <c r="L40" s="45" cm="1">
        <f t="array" ref="L40">SQRT(SUMPRODUCT((D40:K40-D$61:K$61)^2, D$63:K$63))</f>
        <v>2.6275783986443426</v>
      </c>
      <c r="M40" s="31">
        <f t="shared" si="2"/>
        <v>3.7708294426560873E-2</v>
      </c>
      <c r="N40">
        <f t="shared" si="18"/>
        <v>10</v>
      </c>
      <c r="O40" s="24">
        <f t="shared" si="3"/>
        <v>4</v>
      </c>
      <c r="P40" s="45" cm="1">
        <f t="array" ref="P40">SQRT(SUMPRODUCT((D40:K40-D$61:K$61)^2, D$64:K$64))</f>
        <v>2.5499381094883309</v>
      </c>
      <c r="Q40">
        <f t="shared" si="4"/>
        <v>6.6142310443628283E-2</v>
      </c>
      <c r="R40">
        <f t="shared" si="5"/>
        <v>10</v>
      </c>
      <c r="S40" s="24">
        <f t="shared" si="6"/>
        <v>4</v>
      </c>
      <c r="T40" s="45">
        <f t="shared" si="7"/>
        <v>0.30000266736425241</v>
      </c>
      <c r="U40">
        <f t="shared" si="8"/>
        <v>0.15126121042049356</v>
      </c>
      <c r="V40">
        <f t="shared" si="9"/>
        <v>0</v>
      </c>
      <c r="W40">
        <f t="shared" si="10"/>
        <v>3.7607631685527347</v>
      </c>
      <c r="X40">
        <f t="shared" si="11"/>
        <v>0.71738536189143498</v>
      </c>
      <c r="Y40">
        <f t="shared" si="12"/>
        <v>2.3241701234935164</v>
      </c>
      <c r="Z40">
        <f t="shared" si="13"/>
        <v>0</v>
      </c>
      <c r="AA40" s="24">
        <f t="shared" si="14"/>
        <v>3.3703870199401038</v>
      </c>
      <c r="AB40" s="45">
        <f t="shared" si="19"/>
        <v>10.623969551662537</v>
      </c>
      <c r="AC40">
        <f t="shared" si="15"/>
        <v>0.37933776859607521</v>
      </c>
      <c r="AD40">
        <f t="shared" si="16"/>
        <v>9</v>
      </c>
      <c r="AE40" s="24">
        <f t="shared" si="17"/>
        <v>3</v>
      </c>
      <c r="AG40" s="45">
        <v>10</v>
      </c>
      <c r="AH40">
        <v>10</v>
      </c>
      <c r="AI40" s="24">
        <v>7</v>
      </c>
      <c r="AK40" s="20" t="s">
        <v>94</v>
      </c>
    </row>
    <row r="41" spans="2:40" ht="15.75" thickBot="1">
      <c r="B41" s="220"/>
      <c r="C41" s="24" t="s">
        <v>21</v>
      </c>
      <c r="D41" s="45">
        <f t="shared" si="0"/>
        <v>-0.52201800321339109</v>
      </c>
      <c r="E41">
        <f t="shared" si="0"/>
        <v>-0.34148364170686391</v>
      </c>
      <c r="F41">
        <f t="shared" si="0"/>
        <v>-0.18191119421103336</v>
      </c>
      <c r="G41">
        <f t="shared" si="0"/>
        <v>-0.61613549622136088</v>
      </c>
      <c r="H41">
        <f t="shared" si="0"/>
        <v>-1.1096031711037109</v>
      </c>
      <c r="I41">
        <f t="shared" si="0"/>
        <v>0.77438477162436958</v>
      </c>
      <c r="J41">
        <f t="shared" si="0"/>
        <v>1.496808814603203</v>
      </c>
      <c r="K41">
        <f t="shared" si="0"/>
        <v>0.83185847858334772</v>
      </c>
      <c r="L41" s="45" cm="1">
        <f t="array" ref="L41">SQRT(SUMPRODUCT((D41:K41-D$61:K$61)^2, D$63:K$63))</f>
        <v>2.1400285691179182</v>
      </c>
      <c r="M41" s="31">
        <f t="shared" si="2"/>
        <v>0.21626249370338579</v>
      </c>
      <c r="N41">
        <f t="shared" si="18"/>
        <v>6</v>
      </c>
      <c r="O41" s="24">
        <f t="shared" si="3"/>
        <v>2</v>
      </c>
      <c r="P41" s="45" cm="1">
        <f t="array" ref="P41">SQRT(SUMPRODUCT((D41:K41-D$61:K$61)^2, D$64:K$64))</f>
        <v>2.1305750087185604</v>
      </c>
      <c r="Q41">
        <f t="shared" si="4"/>
        <v>0.21972464834932626</v>
      </c>
      <c r="R41">
        <f t="shared" si="5"/>
        <v>6</v>
      </c>
      <c r="S41" s="24">
        <f t="shared" si="6"/>
        <v>2</v>
      </c>
      <c r="T41" s="45">
        <f t="shared" si="7"/>
        <v>1.2409939703935589</v>
      </c>
      <c r="U41">
        <f t="shared" si="8"/>
        <v>1.0588284729434201</v>
      </c>
      <c r="V41">
        <f t="shared" si="9"/>
        <v>1.35627755581217</v>
      </c>
      <c r="W41">
        <f t="shared" si="10"/>
        <v>0.81167550400418731</v>
      </c>
      <c r="X41">
        <f t="shared" si="11"/>
        <v>0.40623026516743899</v>
      </c>
      <c r="Y41">
        <f t="shared" si="12"/>
        <v>2.1453878063017076</v>
      </c>
      <c r="Z41">
        <f t="shared" si="13"/>
        <v>3.0960608180385645</v>
      </c>
      <c r="AA41" s="24">
        <f t="shared" si="14"/>
        <v>2.4254186965924114</v>
      </c>
      <c r="AB41" s="45">
        <f t="shared" si="19"/>
        <v>12.540873089253457</v>
      </c>
      <c r="AC41">
        <f t="shared" si="15"/>
        <v>0.44778242170126703</v>
      </c>
      <c r="AD41">
        <f t="shared" si="16"/>
        <v>5</v>
      </c>
      <c r="AE41" s="24">
        <f t="shared" si="17"/>
        <v>2</v>
      </c>
      <c r="AG41" s="45">
        <v>5</v>
      </c>
      <c r="AH41">
        <v>6</v>
      </c>
      <c r="AI41" s="24">
        <v>5</v>
      </c>
    </row>
    <row r="42" spans="2:40" ht="15.75" thickBot="1">
      <c r="B42" s="220"/>
      <c r="C42" s="24" t="s">
        <v>22</v>
      </c>
      <c r="D42" s="46">
        <f t="shared" si="0"/>
        <v>-0.39157339802604313</v>
      </c>
      <c r="E42" s="25">
        <f t="shared" si="0"/>
        <v>1.7761733041799692</v>
      </c>
      <c r="F42" s="25">
        <f t="shared" si="0"/>
        <v>1.8679173844596333</v>
      </c>
      <c r="G42" s="25">
        <f t="shared" si="0"/>
        <v>0.14142830751588034</v>
      </c>
      <c r="H42" s="25">
        <f t="shared" si="0"/>
        <v>0.20416279284204955</v>
      </c>
      <c r="I42" s="25">
        <f t="shared" si="0"/>
        <v>2.94584499918321E-2</v>
      </c>
      <c r="J42" s="25">
        <f t="shared" si="0"/>
        <v>1.4512785084555773</v>
      </c>
      <c r="K42" s="25">
        <f t="shared" si="0"/>
        <v>0.23337854046314213</v>
      </c>
      <c r="L42" s="45" cm="1">
        <f t="array" ref="L42">SQRT(SUMPRODUCT((D42:K42-D$61:K$61)^2, D$63:K$63))</f>
        <v>1.5192364085231922</v>
      </c>
      <c r="M42" s="31">
        <f>1-(L42/L$61)</f>
        <v>0.44361371082921142</v>
      </c>
      <c r="N42">
        <f>_xlfn.RANK.AVG(M42,$M$32:$M$42)</f>
        <v>1</v>
      </c>
      <c r="O42" s="24">
        <f>VLOOKUP(M42,AA$21:AB$24,2,1)</f>
        <v>1</v>
      </c>
      <c r="P42" s="45" cm="1">
        <f t="array" ref="P42">SQRT(SUMPRODUCT((D42:K42-D$61:K$61)^2, D$64:K$64))</f>
        <v>1.5658846426159305</v>
      </c>
      <c r="Q42">
        <f>1-(P42/$L$61)</f>
        <v>0.42652984046011033</v>
      </c>
      <c r="R42">
        <f>_xlfn.RANK.AVG(Q42,$Q$32:$Q$42)</f>
        <v>1</v>
      </c>
      <c r="S42" s="24">
        <f t="shared" si="6"/>
        <v>1</v>
      </c>
      <c r="T42" s="45">
        <f>D42+ABS(D$60)</f>
        <v>1.3714385755809066</v>
      </c>
      <c r="U42">
        <f t="shared" si="8"/>
        <v>3.1764854188302531</v>
      </c>
      <c r="V42">
        <f>F42+ABS(F$60)</f>
        <v>3.4061061344828367</v>
      </c>
      <c r="W42">
        <f t="shared" si="10"/>
        <v>1.5692393077414286</v>
      </c>
      <c r="X42">
        <f>H42+ABS(H$60)</f>
        <v>1.7199962291131994</v>
      </c>
      <c r="Y42">
        <f>I42+ABS(I$60)</f>
        <v>1.4004614846691701</v>
      </c>
      <c r="Z42">
        <f>J42+ABS(J$60)</f>
        <v>3.0505305118909387</v>
      </c>
      <c r="AA42" s="24">
        <f>K42+ABS(K$60)</f>
        <v>1.8269387584722057</v>
      </c>
      <c r="AB42" s="45">
        <f>SUM(T42:AA42)</f>
        <v>17.521196420780939</v>
      </c>
      <c r="AC42">
        <f>AB42/$T$58</f>
        <v>0.62560905517208332</v>
      </c>
      <c r="AD42">
        <f>_xlfn.RANK.AVG(AB42,$AB$32:$AB$42)</f>
        <v>2</v>
      </c>
      <c r="AE42" s="24">
        <f t="shared" si="17"/>
        <v>1</v>
      </c>
      <c r="AG42" s="45">
        <v>1</v>
      </c>
      <c r="AH42">
        <v>3</v>
      </c>
      <c r="AI42" s="24">
        <v>2</v>
      </c>
    </row>
    <row r="43" spans="2:40" ht="16.5" thickTop="1" thickBot="1">
      <c r="B43" s="220"/>
      <c r="C43" s="42"/>
      <c r="L43" s="44"/>
      <c r="M43" s="22"/>
      <c r="N43" s="22"/>
      <c r="O43" s="23"/>
      <c r="P43" s="44"/>
      <c r="Q43" s="22"/>
      <c r="R43" s="22"/>
      <c r="S43" s="23"/>
      <c r="T43" s="44"/>
      <c r="U43" s="22"/>
      <c r="V43" s="22"/>
      <c r="W43" s="22"/>
      <c r="X43" s="22"/>
      <c r="Y43" s="22"/>
      <c r="Z43" s="22"/>
      <c r="AA43" s="23"/>
      <c r="AB43" s="44"/>
      <c r="AC43" s="22"/>
      <c r="AD43" s="22"/>
      <c r="AE43" s="23"/>
      <c r="AF43" s="44"/>
      <c r="AG43" s="44"/>
      <c r="AH43" s="22"/>
      <c r="AI43" s="23"/>
    </row>
    <row r="44" spans="2:40" ht="15.75" thickBot="1">
      <c r="B44" s="220"/>
      <c r="C44" s="43"/>
      <c r="L44" s="46"/>
      <c r="M44" s="25"/>
      <c r="N44" s="25"/>
      <c r="O44" s="26"/>
      <c r="P44" s="46"/>
      <c r="Q44" s="25"/>
      <c r="R44" s="25"/>
      <c r="S44" s="26"/>
      <c r="T44" s="46"/>
      <c r="U44" s="25"/>
      <c r="V44" s="25"/>
      <c r="W44" s="25"/>
      <c r="X44" s="25"/>
      <c r="Y44" s="25"/>
      <c r="Z44" s="25"/>
      <c r="AA44" s="26"/>
      <c r="AB44" s="46"/>
      <c r="AC44" s="25"/>
      <c r="AD44" s="25"/>
      <c r="AE44" s="26"/>
      <c r="AF44" s="46"/>
      <c r="AG44" s="46"/>
      <c r="AH44" s="25"/>
      <c r="AI44" s="26"/>
    </row>
    <row r="45" spans="2:40" ht="16.5" thickBot="1">
      <c r="B45" s="220">
        <v>2023</v>
      </c>
      <c r="C45" s="145" t="s">
        <v>11</v>
      </c>
      <c r="D45" s="112">
        <f t="shared" ref="D45:K55" si="20">(D72-D$95)/D$96</f>
        <v>-9.2583818242907165E-2</v>
      </c>
      <c r="E45" s="113">
        <f t="shared" si="20"/>
        <v>-0.79526727296833066</v>
      </c>
      <c r="F45" s="113">
        <f t="shared" si="20"/>
        <v>-0.92169895192676232</v>
      </c>
      <c r="G45" s="113">
        <f t="shared" si="20"/>
        <v>0.49315435925102841</v>
      </c>
      <c r="H45" s="113">
        <f t="shared" si="20"/>
        <v>-1.0721493168684149</v>
      </c>
      <c r="I45" s="113">
        <f t="shared" si="20"/>
        <v>-0.59627966017949896</v>
      </c>
      <c r="J45" s="113">
        <f t="shared" si="20"/>
        <v>-1.3716004726972317</v>
      </c>
      <c r="K45" s="114">
        <f t="shared" si="20"/>
        <v>-0.39660034176865278</v>
      </c>
      <c r="L45" cm="1">
        <f t="array" ref="L45">SQRT(SUMPRODUCT((D45:K45-D$61:K$61)^2, D$63:K$63))</f>
        <v>2.6376553963047287</v>
      </c>
      <c r="M45" s="31">
        <f>1-(L45/L$61)</f>
        <v>3.4017819854736286E-2</v>
      </c>
      <c r="N45">
        <f>_xlfn.RANK.AVG(M45,$M$45:$M$55)</f>
        <v>11</v>
      </c>
      <c r="O45" s="24">
        <f>VLOOKUP(M45,AA$21:AB$24,2,1)</f>
        <v>4</v>
      </c>
      <c r="P45" s="45" cm="1">
        <f t="array" ref="P45">SQRT(SUMPRODUCT((D45:K45-D$61:K$61)^2, D$64:K$64))</f>
        <v>2.633463329795473</v>
      </c>
      <c r="Q45">
        <f>1-(P45/$L$61)</f>
        <v>3.5553070271298615E-2</v>
      </c>
      <c r="R45">
        <f>_xlfn.RANK.AVG(Q45,$Q$45:$Q$55)</f>
        <v>10</v>
      </c>
      <c r="S45" s="24">
        <f>VLOOKUP(Q45,$AC$21:$AD$24,2,1)</f>
        <v>4</v>
      </c>
      <c r="T45" s="45">
        <f t="shared" ref="T45:AA45" si="21">D45+ABS(D$60)</f>
        <v>1.6704281553640428</v>
      </c>
      <c r="U45">
        <f t="shared" si="21"/>
        <v>0.60504484168195327</v>
      </c>
      <c r="V45">
        <f t="shared" si="21"/>
        <v>0.61648979809644111</v>
      </c>
      <c r="W45">
        <f t="shared" si="21"/>
        <v>1.9209653594765765</v>
      </c>
      <c r="X45">
        <f t="shared" si="21"/>
        <v>0.443684119402735</v>
      </c>
      <c r="Y45">
        <f t="shared" si="21"/>
        <v>0.77472337449783912</v>
      </c>
      <c r="Z45">
        <f t="shared" si="21"/>
        <v>0.22765153073812994</v>
      </c>
      <c r="AA45" s="24">
        <f t="shared" si="21"/>
        <v>1.1969598762404108</v>
      </c>
      <c r="AB45" s="45">
        <f>SUM(T45:AA45)</f>
        <v>7.455947055498128</v>
      </c>
      <c r="AC45">
        <f>AB45/$T$58</f>
        <v>0.26622086076673057</v>
      </c>
      <c r="AD45">
        <f>_xlfn.RANK.AVG(AB45,$AB$45:$AB$55)</f>
        <v>11</v>
      </c>
      <c r="AE45" s="24">
        <f t="shared" ref="AE45:AE55" si="22">VLOOKUP(AC45,$AE$21:$AF$24,2,1)</f>
        <v>3</v>
      </c>
      <c r="AG45" s="45">
        <v>11</v>
      </c>
      <c r="AH45">
        <v>11</v>
      </c>
      <c r="AI45" s="24">
        <v>10</v>
      </c>
      <c r="AK45" s="125">
        <v>2023</v>
      </c>
      <c r="AL45" s="38" t="s">
        <v>77</v>
      </c>
      <c r="AM45" s="38" t="s">
        <v>79</v>
      </c>
      <c r="AN45" s="38" t="s">
        <v>91</v>
      </c>
    </row>
    <row r="46" spans="2:40" ht="15.75" thickBot="1">
      <c r="B46" s="220"/>
      <c r="C46" t="s">
        <v>12</v>
      </c>
      <c r="D46" s="85">
        <f t="shared" si="20"/>
        <v>0.75715450219622726</v>
      </c>
      <c r="E46">
        <f t="shared" si="20"/>
        <v>0.61650402428955564</v>
      </c>
      <c r="F46">
        <f t="shared" si="20"/>
        <v>0.31128064426611946</v>
      </c>
      <c r="G46">
        <f t="shared" si="20"/>
        <v>-0.45380039542052353</v>
      </c>
      <c r="H46">
        <f t="shared" si="20"/>
        <v>-0.67744331454260542</v>
      </c>
      <c r="I46">
        <f t="shared" si="20"/>
        <v>-1.132626611754926</v>
      </c>
      <c r="J46">
        <f t="shared" si="20"/>
        <v>-0.31302085476492841</v>
      </c>
      <c r="K46" s="79">
        <f t="shared" si="20"/>
        <v>-0.239105621210704</v>
      </c>
      <c r="L46" cm="1">
        <f t="array" ref="L46">SQRT(SUMPRODUCT((D46:K46-D$61:K$61)^2, D$63:K$63))</f>
        <v>2.2324841593747666</v>
      </c>
      <c r="M46" s="31">
        <f t="shared" ref="M46:M54" si="23">1-(L46/L$61)</f>
        <v>0.18240270566282191</v>
      </c>
      <c r="N46">
        <f t="shared" ref="N46:N54" si="24">_xlfn.RANK.AVG(M46,$M$45:$M$55)</f>
        <v>5</v>
      </c>
      <c r="O46" s="24">
        <f t="shared" ref="O46:O54" si="25">VLOOKUP(M46,AA$21:AB$24,2,1)</f>
        <v>3</v>
      </c>
      <c r="P46" s="45" cm="1">
        <f t="array" ref="P46">SQRT(SUMPRODUCT((D46:K46-D$61:K$61)^2, D$64:K$64))</f>
        <v>2.3075031186635209</v>
      </c>
      <c r="Q46">
        <f t="shared" ref="Q46:Q54" si="26">1-(P46/$L$61)</f>
        <v>0.1549286929667345</v>
      </c>
      <c r="R46">
        <f t="shared" ref="R46:R54" si="27">_xlfn.RANK.AVG(Q46,$Q$45:$Q$55)</f>
        <v>6</v>
      </c>
      <c r="S46" s="24">
        <f t="shared" ref="S46:S54" si="28">VLOOKUP(Q46,$AC$21:$AD$24,2,1)</f>
        <v>3</v>
      </c>
      <c r="T46" s="45">
        <f t="shared" ref="T46:T54" si="29">D46+ABS(D$60)</f>
        <v>2.520166475803177</v>
      </c>
      <c r="U46">
        <f t="shared" ref="U46:U54" si="30">E46+ABS(E$60)</f>
        <v>2.0168161389398396</v>
      </c>
      <c r="V46">
        <f t="shared" ref="V46:V54" si="31">F46+ABS(F$60)</f>
        <v>1.849469394289323</v>
      </c>
      <c r="W46">
        <f t="shared" ref="W46:W54" si="32">G46+ABS(G$60)</f>
        <v>0.97401060480502466</v>
      </c>
      <c r="X46">
        <f t="shared" ref="X46:X54" si="33">H46+ABS(H$60)</f>
        <v>0.83839012172854444</v>
      </c>
      <c r="Y46">
        <f t="shared" ref="Y46:Y54" si="34">I46+ABS(I$60)</f>
        <v>0.23837642292241212</v>
      </c>
      <c r="Z46">
        <f t="shared" ref="Z46:Z54" si="35">J46+ABS(J$60)</f>
        <v>1.2862311486704332</v>
      </c>
      <c r="AA46" s="24">
        <f t="shared" ref="AA46:AA54" si="36">K46+ABS(K$60)</f>
        <v>1.3544545967983597</v>
      </c>
      <c r="AB46" s="45">
        <f t="shared" ref="AB46:AB54" si="37">SUM(T46:AA46)</f>
        <v>11.077914903957115</v>
      </c>
      <c r="AC46">
        <f t="shared" ref="AC46:AC54" si="38">AB46/$T$58</f>
        <v>0.39554626921033359</v>
      </c>
      <c r="AD46">
        <f t="shared" ref="AD46:AD54" si="39">_xlfn.RANK.AVG(AB46,$AB$45:$AB$55)</f>
        <v>7</v>
      </c>
      <c r="AE46" s="24">
        <f>VLOOKUP(AC46,$AE$21:$AF$24,2,1)</f>
        <v>3</v>
      </c>
      <c r="AG46" s="45">
        <v>6</v>
      </c>
      <c r="AH46">
        <v>7</v>
      </c>
      <c r="AI46" s="24">
        <v>7</v>
      </c>
      <c r="AK46" t="s">
        <v>77</v>
      </c>
      <c r="AL46">
        <v>1</v>
      </c>
    </row>
    <row r="47" spans="2:40" ht="15.75" thickBot="1">
      <c r="B47" s="220"/>
      <c r="C47" t="s">
        <v>13</v>
      </c>
      <c r="D47" s="85">
        <f t="shared" si="20"/>
        <v>1.4676032425151484</v>
      </c>
      <c r="E47">
        <f t="shared" si="20"/>
        <v>1.2719692694450093</v>
      </c>
      <c r="F47">
        <f t="shared" si="20"/>
        <v>1.1949160215376853</v>
      </c>
      <c r="G47">
        <f t="shared" si="20"/>
        <v>-0.94080569782303558</v>
      </c>
      <c r="H47">
        <f t="shared" si="20"/>
        <v>1.438699449751607</v>
      </c>
      <c r="I47">
        <f t="shared" si="20"/>
        <v>-8.9729761469373476E-2</v>
      </c>
      <c r="J47">
        <f t="shared" si="20"/>
        <v>0.67726330394593592</v>
      </c>
      <c r="K47" s="79">
        <f t="shared" si="20"/>
        <v>-1.4675644415627045</v>
      </c>
      <c r="L47" cm="1">
        <f t="array" ref="L47">SQRT(SUMPRODUCT((D47:K47-D$61:K$61)^2, D$63:K$63))</f>
        <v>1.9039742581052665</v>
      </c>
      <c r="M47" s="31">
        <f t="shared" si="23"/>
        <v>0.30271209523364784</v>
      </c>
      <c r="N47">
        <f t="shared" si="24"/>
        <v>2</v>
      </c>
      <c r="O47" s="24">
        <f t="shared" si="25"/>
        <v>2</v>
      </c>
      <c r="P47" s="45" cm="1">
        <f t="array" ref="P47">SQRT(SUMPRODUCT((D47:K47-D$61:K$61)^2, D$64:K$64))</f>
        <v>1.9354790894352967</v>
      </c>
      <c r="Q47">
        <f t="shared" si="26"/>
        <v>0.29117415676908309</v>
      </c>
      <c r="R47">
        <f t="shared" si="27"/>
        <v>2</v>
      </c>
      <c r="S47" s="24">
        <f t="shared" si="28"/>
        <v>2</v>
      </c>
      <c r="T47" s="45">
        <f t="shared" si="29"/>
        <v>3.2306152161220982</v>
      </c>
      <c r="U47">
        <f t="shared" si="30"/>
        <v>2.6722813840952933</v>
      </c>
      <c r="V47">
        <f t="shared" si="31"/>
        <v>2.7331047715608889</v>
      </c>
      <c r="W47">
        <f t="shared" si="32"/>
        <v>0.48700530240251261</v>
      </c>
      <c r="X47">
        <f t="shared" si="33"/>
        <v>2.9545328860227569</v>
      </c>
      <c r="Y47">
        <f t="shared" si="34"/>
        <v>1.2812732732079646</v>
      </c>
      <c r="Z47">
        <f t="shared" si="35"/>
        <v>2.2765153073812976</v>
      </c>
      <c r="AA47" s="24">
        <f t="shared" si="36"/>
        <v>0.12599577644635906</v>
      </c>
      <c r="AB47" s="45">
        <f t="shared" si="37"/>
        <v>15.761323917239173</v>
      </c>
      <c r="AC47">
        <f t="shared" si="38"/>
        <v>0.56277132721543155</v>
      </c>
      <c r="AD47">
        <f t="shared" si="39"/>
        <v>2</v>
      </c>
      <c r="AE47" s="24">
        <f t="shared" si="22"/>
        <v>1</v>
      </c>
      <c r="AG47" s="45">
        <v>2</v>
      </c>
      <c r="AH47">
        <v>3</v>
      </c>
      <c r="AI47" s="24">
        <v>1</v>
      </c>
      <c r="AK47" t="s">
        <v>79</v>
      </c>
      <c r="AL47">
        <v>0.97272727272727244</v>
      </c>
      <c r="AM47">
        <v>1</v>
      </c>
    </row>
    <row r="48" spans="2:40" ht="15.75" thickBot="1">
      <c r="B48" s="220"/>
      <c r="C48" t="s">
        <v>15</v>
      </c>
      <c r="D48" s="85">
        <f t="shared" si="20"/>
        <v>0.84210978906656853</v>
      </c>
      <c r="E48">
        <f t="shared" si="20"/>
        <v>0.86860604165703559</v>
      </c>
      <c r="F48">
        <f t="shared" si="20"/>
        <v>1.2154656814742333</v>
      </c>
      <c r="G48">
        <f t="shared" si="20"/>
        <v>0.16848415764935365</v>
      </c>
      <c r="H48">
        <f t="shared" si="20"/>
        <v>0.45769657535789771</v>
      </c>
      <c r="I48">
        <f t="shared" si="20"/>
        <v>-1.2220177703508306</v>
      </c>
      <c r="J48">
        <f t="shared" si="20"/>
        <v>-0.71141103355665558</v>
      </c>
      <c r="K48" s="79">
        <f t="shared" si="20"/>
        <v>-1.5935602180090636</v>
      </c>
      <c r="L48" cm="1">
        <f t="array" ref="L48">SQRT(SUMPRODUCT((D48:K48-D$61:K$61)^2, D$63:K$63))</f>
        <v>2.2031936495540108</v>
      </c>
      <c r="M48" s="31">
        <f t="shared" si="23"/>
        <v>0.19312969849663142</v>
      </c>
      <c r="N48">
        <f t="shared" si="24"/>
        <v>4</v>
      </c>
      <c r="O48" s="24">
        <f t="shared" si="25"/>
        <v>3</v>
      </c>
      <c r="P48" s="45" cm="1">
        <f t="array" ref="P48">SQRT(SUMPRODUCT((D48:K48-D$61:K$61)^2, D$64:K$64))</f>
        <v>2.2650554483494409</v>
      </c>
      <c r="Q48">
        <f t="shared" si="26"/>
        <v>0.17047420098477473</v>
      </c>
      <c r="R48">
        <f t="shared" si="27"/>
        <v>4</v>
      </c>
      <c r="S48" s="24">
        <f t="shared" si="28"/>
        <v>3</v>
      </c>
      <c r="T48" s="45">
        <f t="shared" si="29"/>
        <v>2.6051217626735186</v>
      </c>
      <c r="U48">
        <f t="shared" si="30"/>
        <v>2.2689181563073193</v>
      </c>
      <c r="V48">
        <f t="shared" si="31"/>
        <v>2.7536544314974369</v>
      </c>
      <c r="W48">
        <f t="shared" si="32"/>
        <v>1.5962951578749018</v>
      </c>
      <c r="X48">
        <f t="shared" si="33"/>
        <v>1.9735300116290475</v>
      </c>
      <c r="Y48">
        <f t="shared" si="34"/>
        <v>0.14898526432650749</v>
      </c>
      <c r="Z48">
        <f t="shared" si="35"/>
        <v>0.88784096987870609</v>
      </c>
      <c r="AA48" s="24">
        <f t="shared" si="36"/>
        <v>0</v>
      </c>
      <c r="AB48" s="45">
        <f t="shared" si="37"/>
        <v>12.234345754187437</v>
      </c>
      <c r="AC48">
        <f t="shared" si="38"/>
        <v>0.43683760538452132</v>
      </c>
      <c r="AD48">
        <f t="shared" si="39"/>
        <v>4</v>
      </c>
      <c r="AE48" s="24">
        <f t="shared" si="22"/>
        <v>2</v>
      </c>
      <c r="AG48" s="45">
        <v>4</v>
      </c>
      <c r="AH48">
        <v>5</v>
      </c>
      <c r="AI48" s="24">
        <v>6</v>
      </c>
      <c r="AK48" s="37" t="s">
        <v>91</v>
      </c>
      <c r="AL48" s="37">
        <v>0.93636363636363618</v>
      </c>
      <c r="AM48" s="37">
        <v>0.95454545454545436</v>
      </c>
      <c r="AN48" s="37">
        <v>1</v>
      </c>
    </row>
    <row r="49" spans="2:35" ht="15.75" thickBot="1">
      <c r="B49" s="220"/>
      <c r="C49" t="s">
        <v>16</v>
      </c>
      <c r="D49" s="85">
        <f t="shared" si="20"/>
        <v>1.252923700174744</v>
      </c>
      <c r="E49">
        <f t="shared" si="20"/>
        <v>0.11229998955459572</v>
      </c>
      <c r="F49">
        <f t="shared" si="20"/>
        <v>-0.86004997211711842</v>
      </c>
      <c r="G49">
        <f t="shared" si="20"/>
        <v>-1.4278110002255482</v>
      </c>
      <c r="H49">
        <f t="shared" si="20"/>
        <v>-0.40662313776431269</v>
      </c>
      <c r="I49">
        <f t="shared" si="20"/>
        <v>-1.3710030346773381</v>
      </c>
      <c r="J49">
        <f t="shared" si="20"/>
        <v>-0.72279361009356202</v>
      </c>
      <c r="K49" s="79">
        <f t="shared" si="20"/>
        <v>1.2885931682014023E-2</v>
      </c>
      <c r="L49" cm="1">
        <f t="array" ref="L49">SQRT(SUMPRODUCT((D49:K49-D$61:K$61)^2, D$63:K$63))</f>
        <v>2.5969905601276473</v>
      </c>
      <c r="M49" s="31">
        <f>1-(L49/L$61)</f>
        <v>4.8910404822666176E-2</v>
      </c>
      <c r="N49">
        <f t="shared" si="24"/>
        <v>9</v>
      </c>
      <c r="O49" s="24">
        <f t="shared" si="25"/>
        <v>4</v>
      </c>
      <c r="P49" s="45" cm="1">
        <f t="array" ref="P49">SQRT(SUMPRODUCT((D49:K49-D$61:K$61)^2, D$64:K$64))</f>
        <v>2.6574376817415617</v>
      </c>
      <c r="Q49">
        <f t="shared" si="26"/>
        <v>2.6773001126217166E-2</v>
      </c>
      <c r="R49">
        <f t="shared" si="27"/>
        <v>11</v>
      </c>
      <c r="S49" s="24">
        <f t="shared" si="28"/>
        <v>4</v>
      </c>
      <c r="T49" s="45">
        <f t="shared" si="29"/>
        <v>3.0159356737816938</v>
      </c>
      <c r="U49">
        <f t="shared" si="30"/>
        <v>1.5126121042048797</v>
      </c>
      <c r="V49">
        <f t="shared" si="31"/>
        <v>0.67813877790608501</v>
      </c>
      <c r="W49">
        <f t="shared" si="32"/>
        <v>0</v>
      </c>
      <c r="X49">
        <f t="shared" si="33"/>
        <v>1.1092102985068371</v>
      </c>
      <c r="Y49">
        <f t="shared" si="34"/>
        <v>0</v>
      </c>
      <c r="Z49">
        <f t="shared" si="35"/>
        <v>0.87645839334179965</v>
      </c>
      <c r="AA49" s="24">
        <f t="shared" si="36"/>
        <v>1.6064461496910776</v>
      </c>
      <c r="AB49" s="45">
        <f t="shared" si="37"/>
        <v>8.7988013974323724</v>
      </c>
      <c r="AC49">
        <f t="shared" si="38"/>
        <v>0.31416860451183309</v>
      </c>
      <c r="AD49">
        <f t="shared" si="39"/>
        <v>9</v>
      </c>
      <c r="AE49" s="24">
        <f t="shared" si="22"/>
        <v>3</v>
      </c>
      <c r="AG49" s="45">
        <v>9</v>
      </c>
      <c r="AH49">
        <v>9</v>
      </c>
      <c r="AI49" s="24">
        <v>9</v>
      </c>
    </row>
    <row r="50" spans="2:35" ht="15.75" thickBot="1">
      <c r="B50" s="220"/>
      <c r="C50" t="s">
        <v>17</v>
      </c>
      <c r="D50" s="85">
        <f t="shared" si="20"/>
        <v>0.32286025562253501</v>
      </c>
      <c r="E50">
        <f t="shared" si="20"/>
        <v>-0.89610807991532415</v>
      </c>
      <c r="F50">
        <f t="shared" si="20"/>
        <v>-0.38740779357651345</v>
      </c>
      <c r="G50">
        <f t="shared" si="20"/>
        <v>-0.23735359435274003</v>
      </c>
      <c r="H50">
        <f t="shared" si="20"/>
        <v>-0.14444615811724232</v>
      </c>
      <c r="I50">
        <f t="shared" si="20"/>
        <v>-1.2518148232161319</v>
      </c>
      <c r="J50">
        <f t="shared" si="20"/>
        <v>-0.87076710507334631</v>
      </c>
      <c r="K50" s="79">
        <f t="shared" si="20"/>
        <v>-1.0580781681120377</v>
      </c>
      <c r="L50" cm="1">
        <f t="array" ref="L50">SQRT(SUMPRODUCT((D50:K50-D$61:K$61)^2, D$63:K$63))</f>
        <v>2.6146112052426176</v>
      </c>
      <c r="M50" s="31">
        <f t="shared" si="23"/>
        <v>4.2457238420576249E-2</v>
      </c>
      <c r="N50">
        <f>_xlfn.RANK.AVG(M50,$M$45:$M$55)</f>
        <v>10</v>
      </c>
      <c r="O50" s="24">
        <f t="shared" si="25"/>
        <v>4</v>
      </c>
      <c r="P50" s="45" cm="1">
        <f t="array" ref="P50">SQRT(SUMPRODUCT((D50:K50-D$61:K$61)^2, D$64:K$64))</f>
        <v>2.6307505354712366</v>
      </c>
      <c r="Q50">
        <f t="shared" si="26"/>
        <v>3.6546570399967004E-2</v>
      </c>
      <c r="R50">
        <f t="shared" si="27"/>
        <v>9</v>
      </c>
      <c r="S50" s="24">
        <f t="shared" si="28"/>
        <v>4</v>
      </c>
      <c r="T50" s="45">
        <f t="shared" si="29"/>
        <v>2.0858722292294849</v>
      </c>
      <c r="U50">
        <f t="shared" si="30"/>
        <v>0.50420403473495978</v>
      </c>
      <c r="V50">
        <f t="shared" si="31"/>
        <v>1.15078095644669</v>
      </c>
      <c r="W50">
        <f t="shared" si="32"/>
        <v>1.1904574058728081</v>
      </c>
      <c r="X50">
        <f t="shared" si="33"/>
        <v>1.3713872781539076</v>
      </c>
      <c r="Y50">
        <f t="shared" si="34"/>
        <v>0.11918821146120617</v>
      </c>
      <c r="Z50">
        <f t="shared" si="35"/>
        <v>0.72848489836201535</v>
      </c>
      <c r="AA50" s="24">
        <f t="shared" si="36"/>
        <v>0.53548204989702586</v>
      </c>
      <c r="AB50" s="45">
        <f t="shared" si="37"/>
        <v>7.685857064158097</v>
      </c>
      <c r="AC50">
        <f t="shared" si="38"/>
        <v>0.27442999100179688</v>
      </c>
      <c r="AD50">
        <f t="shared" si="39"/>
        <v>10</v>
      </c>
      <c r="AE50" s="24">
        <f t="shared" si="22"/>
        <v>3</v>
      </c>
      <c r="AG50" s="45">
        <v>10</v>
      </c>
      <c r="AH50">
        <v>10</v>
      </c>
      <c r="AI50" s="24">
        <v>11</v>
      </c>
    </row>
    <row r="51" spans="2:35" ht="15.75" thickBot="1">
      <c r="B51" s="220"/>
      <c r="C51" t="s">
        <v>18</v>
      </c>
      <c r="D51" s="85">
        <f t="shared" si="20"/>
        <v>0.64893345211658171</v>
      </c>
      <c r="E51">
        <f t="shared" si="20"/>
        <v>-0.34148364170686391</v>
      </c>
      <c r="F51">
        <f t="shared" si="20"/>
        <v>0.2907309843295714</v>
      </c>
      <c r="G51">
        <f t="shared" si="20"/>
        <v>0.3308192584501915</v>
      </c>
      <c r="H51">
        <f t="shared" si="20"/>
        <v>1.438699449751607</v>
      </c>
      <c r="I51">
        <f t="shared" si="20"/>
        <v>-0.53668555444889599</v>
      </c>
      <c r="J51">
        <f t="shared" si="20"/>
        <v>-0.19919508939586353</v>
      </c>
      <c r="K51" s="79">
        <f t="shared" si="20"/>
        <v>-0.20760667709911407</v>
      </c>
      <c r="L51" cm="1">
        <f t="array" ref="L51">SQRT(SUMPRODUCT((D51:K51-D$61:K$61)^2, D$63:K$63))</f>
        <v>1.9235291086784458</v>
      </c>
      <c r="M51" s="31">
        <f t="shared" si="23"/>
        <v>0.29555056942722202</v>
      </c>
      <c r="N51">
        <f t="shared" si="24"/>
        <v>3</v>
      </c>
      <c r="O51" s="24">
        <f t="shared" si="25"/>
        <v>2</v>
      </c>
      <c r="P51" s="45" cm="1">
        <f t="array" ref="P51">SQRT(SUMPRODUCT((D51:K51-D$61:K$61)^2, D$64:K$64))</f>
        <v>1.9292523140459723</v>
      </c>
      <c r="Q51">
        <f t="shared" si="26"/>
        <v>0.29345457371599781</v>
      </c>
      <c r="R51">
        <f t="shared" si="27"/>
        <v>1</v>
      </c>
      <c r="S51" s="24">
        <f t="shared" si="28"/>
        <v>2</v>
      </c>
      <c r="T51" s="45">
        <f t="shared" si="29"/>
        <v>2.4119454257235313</v>
      </c>
      <c r="U51">
        <f t="shared" si="30"/>
        <v>1.0588284729434201</v>
      </c>
      <c r="V51">
        <f t="shared" si="31"/>
        <v>1.8289197343527748</v>
      </c>
      <c r="W51">
        <f t="shared" si="32"/>
        <v>1.7586302586757396</v>
      </c>
      <c r="X51">
        <f t="shared" si="33"/>
        <v>2.9545328860227569</v>
      </c>
      <c r="Y51">
        <f t="shared" si="34"/>
        <v>0.8343174802284421</v>
      </c>
      <c r="Z51">
        <f t="shared" si="35"/>
        <v>1.4000569140394981</v>
      </c>
      <c r="AA51" s="24">
        <f t="shared" si="36"/>
        <v>1.3859535409099495</v>
      </c>
      <c r="AB51" s="45">
        <f t="shared" si="37"/>
        <v>13.633184712896114</v>
      </c>
      <c r="AC51">
        <f t="shared" si="38"/>
        <v>0.48678432695986396</v>
      </c>
      <c r="AD51">
        <f t="shared" si="39"/>
        <v>3</v>
      </c>
      <c r="AE51" s="24">
        <f t="shared" si="22"/>
        <v>2</v>
      </c>
      <c r="AG51" s="45">
        <v>3</v>
      </c>
      <c r="AH51">
        <v>2</v>
      </c>
      <c r="AI51" s="24">
        <v>3</v>
      </c>
    </row>
    <row r="52" spans="2:35" ht="15.75" thickBot="1">
      <c r="B52" s="220"/>
      <c r="C52" t="s">
        <v>19</v>
      </c>
      <c r="D52" s="85">
        <f t="shared" si="20"/>
        <v>0.68711198713264121</v>
      </c>
      <c r="E52">
        <f t="shared" si="20"/>
        <v>0.51566321734256937</v>
      </c>
      <c r="F52">
        <f t="shared" si="20"/>
        <v>0.66062486318743641</v>
      </c>
      <c r="G52">
        <f t="shared" si="20"/>
        <v>-1.3195875996916564</v>
      </c>
      <c r="H52">
        <f t="shared" si="20"/>
        <v>-1.7679266859317731E-2</v>
      </c>
      <c r="I52">
        <f t="shared" si="20"/>
        <v>-0.14932386719997651</v>
      </c>
      <c r="J52">
        <f t="shared" si="20"/>
        <v>0.18781251285895689</v>
      </c>
      <c r="K52" s="79">
        <f t="shared" si="20"/>
        <v>-1.3100697210047556</v>
      </c>
      <c r="L52" cm="1">
        <f t="array" ref="L52">SQRT(SUMPRODUCT((D52:K52-D$61:K$61)^2, D$63:K$63))</f>
        <v>2.2400956340211495</v>
      </c>
      <c r="M52" s="31">
        <f t="shared" si="23"/>
        <v>0.17961517364353907</v>
      </c>
      <c r="N52">
        <f t="shared" si="24"/>
        <v>6</v>
      </c>
      <c r="O52" s="24">
        <f t="shared" si="25"/>
        <v>3</v>
      </c>
      <c r="P52" s="45" cm="1">
        <f t="array" ref="P52">SQRT(SUMPRODUCT((D52:K52-D$61:K$61)^2, D$64:K$64))</f>
        <v>2.2706725945470509</v>
      </c>
      <c r="Q52">
        <f t="shared" si="26"/>
        <v>0.16841704706779081</v>
      </c>
      <c r="R52">
        <f t="shared" si="27"/>
        <v>5</v>
      </c>
      <c r="S52" s="24">
        <f t="shared" si="28"/>
        <v>3</v>
      </c>
      <c r="T52" s="45">
        <f t="shared" si="29"/>
        <v>2.450123960739591</v>
      </c>
      <c r="U52">
        <f t="shared" si="30"/>
        <v>1.9159753319928532</v>
      </c>
      <c r="V52">
        <f t="shared" si="31"/>
        <v>2.19881361321064</v>
      </c>
      <c r="W52">
        <f t="shared" si="32"/>
        <v>0.10822340053389179</v>
      </c>
      <c r="X52">
        <f t="shared" si="33"/>
        <v>1.4981541694118321</v>
      </c>
      <c r="Y52">
        <f t="shared" si="34"/>
        <v>1.2216791674773615</v>
      </c>
      <c r="Z52">
        <f t="shared" si="35"/>
        <v>1.7870645162943186</v>
      </c>
      <c r="AA52" s="24">
        <f t="shared" si="36"/>
        <v>0.28349049700430795</v>
      </c>
      <c r="AB52" s="45">
        <f t="shared" si="37"/>
        <v>11.463524656664797</v>
      </c>
      <c r="AC52">
        <f t="shared" si="38"/>
        <v>0.40931478976469882</v>
      </c>
      <c r="AD52">
        <f t="shared" si="39"/>
        <v>5</v>
      </c>
      <c r="AE52" s="24">
        <f t="shared" si="22"/>
        <v>3</v>
      </c>
      <c r="AG52" s="45">
        <v>7</v>
      </c>
      <c r="AH52">
        <v>6</v>
      </c>
      <c r="AI52" s="24">
        <v>5</v>
      </c>
    </row>
    <row r="53" spans="2:35" ht="15.75" thickBot="1">
      <c r="B53" s="220"/>
      <c r="C53" t="s">
        <v>20</v>
      </c>
      <c r="D53" s="85">
        <f t="shared" si="20"/>
        <v>0.66559345515249391</v>
      </c>
      <c r="E53">
        <f t="shared" si="20"/>
        <v>-0.49274485212735047</v>
      </c>
      <c r="F53">
        <f t="shared" si="20"/>
        <v>-1.4765397702135594</v>
      </c>
      <c r="G53">
        <f t="shared" si="20"/>
        <v>1.4671649640560536</v>
      </c>
      <c r="H53">
        <f t="shared" si="20"/>
        <v>-8.970590961950195E-2</v>
      </c>
      <c r="I53">
        <f t="shared" si="20"/>
        <v>-0.98364134742841847</v>
      </c>
      <c r="J53">
        <f t="shared" si="20"/>
        <v>-1.5992520034353617</v>
      </c>
      <c r="K53" s="79">
        <f t="shared" si="20"/>
        <v>0.4538711492442708</v>
      </c>
      <c r="L53" cm="1">
        <f t="array" ref="L53">SQRT(SUMPRODUCT((D53:K53-D$61:K$61)^2, D$63:K$63))</f>
        <v>2.4575315542209082</v>
      </c>
      <c r="M53" s="31">
        <f t="shared" si="23"/>
        <v>9.9984140518168507E-2</v>
      </c>
      <c r="N53">
        <f t="shared" si="24"/>
        <v>8</v>
      </c>
      <c r="O53" s="24">
        <f t="shared" si="25"/>
        <v>3</v>
      </c>
      <c r="P53" s="45" cm="1">
        <f t="array" ref="P53">SQRT(SUMPRODUCT((D53:K53-D$61:K$61)^2, D$64:K$64))</f>
        <v>2.4560074161856362</v>
      </c>
      <c r="Q53">
        <f t="shared" si="26"/>
        <v>0.1005423219182926</v>
      </c>
      <c r="R53">
        <f t="shared" si="27"/>
        <v>8</v>
      </c>
      <c r="S53" s="24">
        <f t="shared" si="28"/>
        <v>3</v>
      </c>
      <c r="T53" s="45">
        <f t="shared" si="29"/>
        <v>2.4286054287594436</v>
      </c>
      <c r="U53">
        <f t="shared" si="30"/>
        <v>0.9075672625229334</v>
      </c>
      <c r="V53">
        <f t="shared" si="31"/>
        <v>6.1648979809644011E-2</v>
      </c>
      <c r="W53">
        <f t="shared" si="32"/>
        <v>2.8949759642816018</v>
      </c>
      <c r="X53">
        <f t="shared" si="33"/>
        <v>1.426127526651648</v>
      </c>
      <c r="Y53">
        <f t="shared" si="34"/>
        <v>0.38736168724891962</v>
      </c>
      <c r="Z53">
        <f t="shared" si="35"/>
        <v>0</v>
      </c>
      <c r="AA53" s="24">
        <f t="shared" si="36"/>
        <v>2.0474313672533344</v>
      </c>
      <c r="AB53" s="45">
        <f t="shared" si="37"/>
        <v>10.153718216527524</v>
      </c>
      <c r="AC53">
        <f t="shared" si="38"/>
        <v>0.36254704914963953</v>
      </c>
      <c r="AD53">
        <f t="shared" si="39"/>
        <v>8</v>
      </c>
      <c r="AE53" s="24">
        <f t="shared" si="22"/>
        <v>3</v>
      </c>
      <c r="AG53" s="45">
        <v>8</v>
      </c>
      <c r="AH53">
        <v>8</v>
      </c>
      <c r="AI53" s="24">
        <v>8</v>
      </c>
    </row>
    <row r="54" spans="2:35" ht="15.75" thickBot="1">
      <c r="B54" s="220"/>
      <c r="C54" t="s">
        <v>21</v>
      </c>
      <c r="D54" s="85">
        <f t="shared" si="20"/>
        <v>1.5270244308962253</v>
      </c>
      <c r="E54">
        <f t="shared" si="20"/>
        <v>0.41482241039557599</v>
      </c>
      <c r="F54">
        <f t="shared" si="20"/>
        <v>-0.42850711344960957</v>
      </c>
      <c r="G54">
        <f t="shared" si="20"/>
        <v>-1.103140798623873</v>
      </c>
      <c r="H54">
        <f t="shared" si="20"/>
        <v>-0.72065930019871582</v>
      </c>
      <c r="I54">
        <f t="shared" si="20"/>
        <v>-0.41749734298769009</v>
      </c>
      <c r="J54">
        <f t="shared" si="20"/>
        <v>3.9839017879172663E-2</v>
      </c>
      <c r="K54" s="79">
        <f t="shared" si="20"/>
        <v>-0.239105621210704</v>
      </c>
      <c r="L54" cm="1">
        <f t="array" ref="L54">SQRT(SUMPRODUCT((D54:K54-D$61:K$61)^2, D$63:K$63))</f>
        <v>2.2848111623966751</v>
      </c>
      <c r="M54" s="31">
        <f t="shared" si="23"/>
        <v>0.16323911343224251</v>
      </c>
      <c r="N54">
        <f t="shared" si="24"/>
        <v>7</v>
      </c>
      <c r="O54" s="24">
        <f t="shared" si="25"/>
        <v>3</v>
      </c>
      <c r="P54" s="45" cm="1">
        <f t="array" ref="P54">SQRT(SUMPRODUCT((D54:K54-D$61:K$61)^2, D$64:K$64))</f>
        <v>2.3240375082879465</v>
      </c>
      <c r="Q54">
        <f t="shared" si="26"/>
        <v>0.14887334329552637</v>
      </c>
      <c r="R54">
        <f t="shared" si="27"/>
        <v>7</v>
      </c>
      <c r="S54" s="24">
        <f t="shared" si="28"/>
        <v>3</v>
      </c>
      <c r="T54" s="45">
        <f t="shared" si="29"/>
        <v>3.2900364045031751</v>
      </c>
      <c r="U54">
        <f t="shared" si="30"/>
        <v>1.8151345250458599</v>
      </c>
      <c r="V54">
        <f t="shared" si="31"/>
        <v>1.109681636573594</v>
      </c>
      <c r="W54">
        <f t="shared" si="32"/>
        <v>0.32467020160167515</v>
      </c>
      <c r="X54">
        <f t="shared" si="33"/>
        <v>0.79517413607243403</v>
      </c>
      <c r="Y54">
        <f t="shared" si="34"/>
        <v>0.95350569168964805</v>
      </c>
      <c r="Z54">
        <f t="shared" si="35"/>
        <v>1.6390910213145344</v>
      </c>
      <c r="AA54" s="24">
        <f t="shared" si="36"/>
        <v>1.3544545967983597</v>
      </c>
      <c r="AB54" s="45">
        <f t="shared" si="37"/>
        <v>11.281748213599279</v>
      </c>
      <c r="AC54">
        <f t="shared" si="38"/>
        <v>0.40282430897402166</v>
      </c>
      <c r="AD54">
        <f t="shared" si="39"/>
        <v>6</v>
      </c>
      <c r="AE54" s="24">
        <f t="shared" si="22"/>
        <v>3</v>
      </c>
      <c r="AG54" s="45">
        <v>5</v>
      </c>
      <c r="AH54">
        <v>4</v>
      </c>
      <c r="AI54" s="24">
        <v>4</v>
      </c>
    </row>
    <row r="55" spans="2:35" ht="15.75" thickBot="1">
      <c r="B55" s="220"/>
      <c r="C55" s="25" t="s">
        <v>22</v>
      </c>
      <c r="D55" s="90">
        <f t="shared" si="20"/>
        <v>1.5270244308962253</v>
      </c>
      <c r="E55" s="37">
        <f t="shared" si="20"/>
        <v>2.3307977423884223</v>
      </c>
      <c r="F55" s="37">
        <f t="shared" si="20"/>
        <v>1.8319554795706741</v>
      </c>
      <c r="G55" s="37">
        <f t="shared" si="20"/>
        <v>-0.12913019381884877</v>
      </c>
      <c r="H55" s="37">
        <f t="shared" si="20"/>
        <v>-0.50746043762857052</v>
      </c>
      <c r="I55" s="37">
        <f t="shared" si="20"/>
        <v>-1.0432354531590216</v>
      </c>
      <c r="J55" s="37">
        <f t="shared" si="20"/>
        <v>0.4837595028185257</v>
      </c>
      <c r="K55" s="80">
        <f t="shared" si="20"/>
        <v>-0.17610773298752441</v>
      </c>
      <c r="L55" s="25" cm="1">
        <f t="array" ref="L55">SQRT(SUMPRODUCT((D55:K55-D$61:K$61)^2, D$63:K$63))</f>
        <v>1.8540412874066747</v>
      </c>
      <c r="M55" s="55">
        <f>1-(L55/L$61)</f>
        <v>0.32099892677507291</v>
      </c>
      <c r="N55" s="25">
        <f>_xlfn.RANK.AVG(M55,$M$45:$M$55)</f>
        <v>1</v>
      </c>
      <c r="O55" s="26">
        <f>VLOOKUP(M55,AA$21:AB$24,2,1)</f>
        <v>1</v>
      </c>
      <c r="P55" s="46" cm="1">
        <f t="array" ref="P55">SQRT(SUMPRODUCT((D55:K55-D$61:K$61)^2, D$64:K$64))</f>
        <v>1.9595242119123109</v>
      </c>
      <c r="Q55" s="25">
        <f>1-(P55/$L$61)</f>
        <v>0.28236816950298815</v>
      </c>
      <c r="R55" s="25">
        <f>_xlfn.RANK.AVG(Q55,$Q$45:$Q$55)</f>
        <v>3</v>
      </c>
      <c r="S55" s="26">
        <f>VLOOKUP(Q55,$AC$21:$AD$24,2,1)</f>
        <v>2</v>
      </c>
      <c r="T55" s="46">
        <f t="shared" ref="T55:AA55" si="40">D55+ABS(D$60)</f>
        <v>3.2900364045031751</v>
      </c>
      <c r="U55" s="25">
        <f t="shared" si="40"/>
        <v>3.7311098570387062</v>
      </c>
      <c r="V55" s="25">
        <f t="shared" si="40"/>
        <v>3.3701442295938775</v>
      </c>
      <c r="W55" s="25">
        <f t="shared" si="40"/>
        <v>1.2986808064066995</v>
      </c>
      <c r="X55" s="25">
        <f t="shared" si="40"/>
        <v>1.0083729986425793</v>
      </c>
      <c r="Y55" s="25">
        <f t="shared" si="40"/>
        <v>0.32776758151831653</v>
      </c>
      <c r="Z55" s="25">
        <f t="shared" si="40"/>
        <v>2.0830115062538872</v>
      </c>
      <c r="AA55" s="26">
        <f t="shared" si="40"/>
        <v>1.4174524850215391</v>
      </c>
      <c r="AB55" s="46">
        <f>SUM(T55:AA55)</f>
        <v>16.526575868978782</v>
      </c>
      <c r="AC55" s="25">
        <f>AB55/$T$58</f>
        <v>0.59009529180089737</v>
      </c>
      <c r="AD55" s="25">
        <f>_xlfn.RANK.AVG(AB55,$AB$45:$AB$55)</f>
        <v>1</v>
      </c>
      <c r="AE55" s="26">
        <f t="shared" si="22"/>
        <v>1</v>
      </c>
      <c r="AG55" s="46">
        <v>1</v>
      </c>
      <c r="AH55" s="25">
        <v>1</v>
      </c>
      <c r="AI55" s="26">
        <v>2</v>
      </c>
    </row>
    <row r="56" spans="2:35">
      <c r="B56" s="40"/>
      <c r="K56" s="24"/>
    </row>
    <row r="57" spans="2:35">
      <c r="B57" s="40"/>
      <c r="C57" s="31" t="s">
        <v>51</v>
      </c>
      <c r="D57">
        <f>AVERAGE(D32:D55)</f>
        <v>-4.4408920985006262E-16</v>
      </c>
      <c r="E57">
        <f>AVERAGE(E32:E55)</f>
        <v>-5.8539032207508253E-15</v>
      </c>
      <c r="F57">
        <f t="shared" ref="F57:K57" si="41">AVERAGE(F32:F55)</f>
        <v>0</v>
      </c>
      <c r="G57">
        <f t="shared" si="41"/>
        <v>-4.6679831717194077E-16</v>
      </c>
      <c r="H57">
        <f t="shared" si="41"/>
        <v>5.0464682937507114E-17</v>
      </c>
      <c r="I57">
        <f t="shared" si="41"/>
        <v>9.0836429287512813E-17</v>
      </c>
      <c r="J57">
        <f t="shared" si="41"/>
        <v>-7.8220258553136033E-17</v>
      </c>
      <c r="K57" s="24">
        <f t="shared" si="41"/>
        <v>1.1606877075626636E-16</v>
      </c>
      <c r="M57" s="24">
        <f>AVERAGE(M32:M55)</f>
        <v>0.19342691873045029</v>
      </c>
      <c r="Q57" s="24">
        <f>AVERAGE(Q32:Q55)</f>
        <v>0.19267366007463618</v>
      </c>
      <c r="S57" t="s">
        <v>95</v>
      </c>
      <c r="T57">
        <f>MAX(T32:T55)</f>
        <v>3.2900364045031751</v>
      </c>
      <c r="U57">
        <f>MAX(U32:U55)</f>
        <v>3.7311098570387062</v>
      </c>
      <c r="V57">
        <f>MAX(V32:V55)</f>
        <v>3.4061061344828367</v>
      </c>
      <c r="W57">
        <f t="shared" ref="W57:Z57" si="42">MAX(W32:W55)</f>
        <v>3.7607631685527347</v>
      </c>
      <c r="X57">
        <f t="shared" si="42"/>
        <v>3.5552350866426936</v>
      </c>
      <c r="Y57">
        <f t="shared" si="42"/>
        <v>3.3074728680484662</v>
      </c>
      <c r="Z57">
        <f t="shared" si="42"/>
        <v>3.5855116091255437</v>
      </c>
      <c r="AA57">
        <f>MAX(AA32:AA55)</f>
        <v>3.3703870199401038</v>
      </c>
      <c r="AC57">
        <f>AVERAGE(AC32:AC55)</f>
        <v>0.43593163310574534</v>
      </c>
    </row>
    <row r="58" spans="2:35">
      <c r="B58" s="40"/>
      <c r="C58" s="31" t="s">
        <v>52</v>
      </c>
      <c r="D58">
        <f>_xlfn.STDEV.P(D32:D55)</f>
        <v>1.0000000000000027</v>
      </c>
      <c r="E58">
        <f t="shared" ref="E58:K58" si="43">_xlfn.STDEV.P(E32:E55)</f>
        <v>1</v>
      </c>
      <c r="F58">
        <f t="shared" si="43"/>
        <v>1.0000000000000004</v>
      </c>
      <c r="G58">
        <f t="shared" si="43"/>
        <v>1.0000000000000018</v>
      </c>
      <c r="H58">
        <f t="shared" si="43"/>
        <v>0.99999999999999933</v>
      </c>
      <c r="I58">
        <f t="shared" si="43"/>
        <v>0.99999999999999967</v>
      </c>
      <c r="J58">
        <f t="shared" si="43"/>
        <v>1.0000000000000004</v>
      </c>
      <c r="K58" s="24">
        <f t="shared" si="43"/>
        <v>0.99999999999999978</v>
      </c>
      <c r="M58">
        <f>_xlfn.STDEV.P(M32:M55)</f>
        <v>0.12309031409895828</v>
      </c>
      <c r="Q58">
        <f>_xlfn.STDEV.P(Q32:Q55)</f>
        <v>0.12156027394667841</v>
      </c>
      <c r="S58" t="s">
        <v>96</v>
      </c>
      <c r="T58">
        <f>SUM(T57:AA57)</f>
        <v>28.006622148334262</v>
      </c>
      <c r="AC58">
        <f>_xlfn.STDEV.P(AC32:AC55)</f>
        <v>0.11099389750707277</v>
      </c>
    </row>
    <row r="59" spans="2:35">
      <c r="B59" s="40"/>
      <c r="C59" s="31" t="s">
        <v>53</v>
      </c>
      <c r="D59">
        <f>D57/D58</f>
        <v>-4.4408920985006143E-16</v>
      </c>
      <c r="E59">
        <f t="shared" ref="E59:K59" si="44">E57/E58</f>
        <v>-5.8539032207508253E-15</v>
      </c>
      <c r="F59">
        <f t="shared" si="44"/>
        <v>0</v>
      </c>
      <c r="G59">
        <f t="shared" si="44"/>
        <v>-4.6679831717193998E-16</v>
      </c>
      <c r="H59">
        <f t="shared" si="44"/>
        <v>5.0464682937507145E-17</v>
      </c>
      <c r="I59">
        <f t="shared" si="44"/>
        <v>9.0836429287512838E-17</v>
      </c>
      <c r="J59">
        <f t="shared" si="44"/>
        <v>-7.8220258553135996E-17</v>
      </c>
      <c r="K59" s="24">
        <f t="shared" si="44"/>
        <v>1.1606877075626639E-16</v>
      </c>
      <c r="AC59">
        <f>MIN(AC32:AC55)</f>
        <v>0.26622086076673057</v>
      </c>
    </row>
    <row r="60" spans="2:35">
      <c r="B60" s="40"/>
      <c r="C60" s="31" t="s">
        <v>54</v>
      </c>
      <c r="D60">
        <f>MIN(D32:D55)</f>
        <v>-1.7630119736069498</v>
      </c>
      <c r="E60">
        <f t="shared" ref="E60:K60" si="45">MIN(E32:E55)</f>
        <v>-1.4003121146502839</v>
      </c>
      <c r="F60">
        <f t="shared" si="45"/>
        <v>-1.5381887500232034</v>
      </c>
      <c r="G60">
        <f t="shared" si="45"/>
        <v>-1.4278110002255482</v>
      </c>
      <c r="H60">
        <f t="shared" si="45"/>
        <v>-1.5158334362711499</v>
      </c>
      <c r="I60">
        <f t="shared" si="45"/>
        <v>-1.3710030346773381</v>
      </c>
      <c r="J60">
        <f t="shared" si="45"/>
        <v>-1.5992520034353617</v>
      </c>
      <c r="K60" s="24">
        <f t="shared" si="45"/>
        <v>-1.5935602180090636</v>
      </c>
    </row>
    <row r="61" spans="2:35">
      <c r="B61" s="40"/>
      <c r="C61" s="31" t="s">
        <v>55</v>
      </c>
      <c r="D61">
        <f>MAX(D32:D55)</f>
        <v>1.5270244308962253</v>
      </c>
      <c r="E61">
        <f t="shared" ref="E61:K61" si="46">MAX(E32:E55)</f>
        <v>2.3307977423884223</v>
      </c>
      <c r="F61">
        <f t="shared" si="46"/>
        <v>1.8679173844596333</v>
      </c>
      <c r="G61">
        <f t="shared" si="46"/>
        <v>2.3329521683271865</v>
      </c>
      <c r="H61">
        <f t="shared" si="46"/>
        <v>2.039401650371544</v>
      </c>
      <c r="I61">
        <f t="shared" si="46"/>
        <v>1.9364698333711281</v>
      </c>
      <c r="J61">
        <f t="shared" si="46"/>
        <v>1.986259605690182</v>
      </c>
      <c r="K61" s="24">
        <f t="shared" si="46"/>
        <v>1.7768268019310405</v>
      </c>
      <c r="L61">
        <f>MAX(L32:L55)</f>
        <v>2.730542499146392</v>
      </c>
    </row>
    <row r="62" spans="2:35">
      <c r="B62" s="40"/>
      <c r="C62" s="31"/>
      <c r="K62" s="24"/>
    </row>
    <row r="63" spans="2:35">
      <c r="B63" s="40"/>
      <c r="C63" s="36" t="s">
        <v>97</v>
      </c>
      <c r="D63">
        <v>0.125</v>
      </c>
      <c r="E63">
        <v>0.125</v>
      </c>
      <c r="F63">
        <v>0.125</v>
      </c>
      <c r="G63">
        <v>0.125</v>
      </c>
      <c r="H63">
        <v>0.125</v>
      </c>
      <c r="I63">
        <v>0.125</v>
      </c>
      <c r="J63">
        <v>0.125</v>
      </c>
      <c r="K63" s="24">
        <v>0.125</v>
      </c>
      <c r="L63" s="223" t="s">
        <v>98</v>
      </c>
      <c r="M63" s="224"/>
      <c r="N63">
        <f>AVERAGE(M32:M42)</f>
        <v>0.21748857507114375</v>
      </c>
    </row>
    <row r="64" spans="2:35">
      <c r="C64" s="36" t="s">
        <v>99</v>
      </c>
      <c r="D64">
        <v>0.11586763001035433</v>
      </c>
      <c r="E64">
        <v>0.10341767449373065</v>
      </c>
      <c r="F64">
        <v>0.10702491568392571</v>
      </c>
      <c r="G64">
        <v>0.13368674067535227</v>
      </c>
      <c r="H64">
        <v>0.13640447562799565</v>
      </c>
      <c r="I64">
        <v>0.15885220281296514</v>
      </c>
      <c r="J64">
        <v>0.12812772731810868</v>
      </c>
      <c r="K64">
        <v>0.11661863337756764</v>
      </c>
      <c r="L64" s="224" t="s">
        <v>100</v>
      </c>
      <c r="M64" s="224"/>
      <c r="N64">
        <f>AVERAGE(M33:M43)</f>
        <v>0.23923743257825811</v>
      </c>
    </row>
    <row r="65" spans="3:35">
      <c r="L65" s="20" t="s">
        <v>101</v>
      </c>
    </row>
    <row r="68" spans="3:35">
      <c r="AA68" s="225" t="s">
        <v>64</v>
      </c>
      <c r="AB68" s="225"/>
      <c r="AC68" s="225"/>
    </row>
    <row r="69" spans="3:35" ht="15.75" thickBot="1">
      <c r="AB69" s="19"/>
    </row>
    <row r="70" spans="3:35" ht="15.75" thickBot="1">
      <c r="AA70" s="38"/>
      <c r="AB70" s="38" t="s">
        <v>43</v>
      </c>
      <c r="AC70" s="38" t="s">
        <v>44</v>
      </c>
      <c r="AD70" s="38" t="s">
        <v>45</v>
      </c>
      <c r="AE70" s="38" t="s">
        <v>46</v>
      </c>
      <c r="AF70" s="38" t="s">
        <v>47</v>
      </c>
      <c r="AG70" s="38" t="s">
        <v>48</v>
      </c>
      <c r="AH70" s="38" t="s">
        <v>49</v>
      </c>
      <c r="AI70" s="111" t="s">
        <v>50</v>
      </c>
    </row>
    <row r="71" spans="3:35" ht="16.5" thickTop="1" thickBot="1">
      <c r="C71" s="27">
        <v>2023</v>
      </c>
      <c r="D71" s="28" t="s">
        <v>43</v>
      </c>
      <c r="E71" s="29" t="s">
        <v>44</v>
      </c>
      <c r="F71" s="29" t="s">
        <v>45</v>
      </c>
      <c r="G71" s="29" t="s">
        <v>46</v>
      </c>
      <c r="H71" s="29" t="s">
        <v>47</v>
      </c>
      <c r="I71" s="29" t="s">
        <v>48</v>
      </c>
      <c r="J71" s="29" t="s">
        <v>49</v>
      </c>
      <c r="K71" s="30" t="s">
        <v>50</v>
      </c>
      <c r="O71" s="27">
        <v>2023</v>
      </c>
      <c r="P71" s="28" t="s">
        <v>43</v>
      </c>
      <c r="Q71" s="29" t="s">
        <v>44</v>
      </c>
      <c r="R71" s="29" t="s">
        <v>45</v>
      </c>
      <c r="S71" s="29" t="s">
        <v>46</v>
      </c>
      <c r="T71" s="29" t="s">
        <v>47</v>
      </c>
      <c r="U71" s="29" t="s">
        <v>48</v>
      </c>
      <c r="V71" s="29" t="s">
        <v>49</v>
      </c>
      <c r="W71" s="30" t="s">
        <v>50</v>
      </c>
      <c r="AA71" t="s">
        <v>43</v>
      </c>
      <c r="AB71">
        <v>1</v>
      </c>
      <c r="AC71">
        <v>0.61626795574382198</v>
      </c>
      <c r="AD71">
        <v>0.38552299967205</v>
      </c>
      <c r="AE71">
        <v>-0.54175850871309961</v>
      </c>
      <c r="AF71">
        <v>0.21421182166167221</v>
      </c>
      <c r="AG71">
        <v>-0.5640729458677235</v>
      </c>
      <c r="AH71">
        <v>4.4089018880150996E-3</v>
      </c>
      <c r="AI71">
        <v>-0.60772001392441055</v>
      </c>
    </row>
    <row r="72" spans="3:35" ht="16.5" thickTop="1">
      <c r="C72" s="1" t="s">
        <v>11</v>
      </c>
      <c r="D72" s="14">
        <v>24484.89</v>
      </c>
      <c r="E72" s="15">
        <v>75.8</v>
      </c>
      <c r="F72" s="15">
        <v>0.79</v>
      </c>
      <c r="G72" s="15">
        <v>18.7</v>
      </c>
      <c r="H72" s="15">
        <v>5.48</v>
      </c>
      <c r="I72" s="15">
        <v>2.6000000000000005</v>
      </c>
      <c r="J72" s="33">
        <v>2</v>
      </c>
      <c r="K72" s="21">
        <v>3.8</v>
      </c>
      <c r="O72" s="1" t="s">
        <v>11</v>
      </c>
      <c r="P72" s="14">
        <v>24484.89</v>
      </c>
      <c r="Q72" s="15">
        <v>75.8</v>
      </c>
      <c r="R72" s="15">
        <v>0.79</v>
      </c>
      <c r="S72" s="15">
        <v>18.7</v>
      </c>
      <c r="T72" s="15">
        <v>5.48</v>
      </c>
      <c r="U72" s="15">
        <v>2.6000000000000005</v>
      </c>
      <c r="V72" s="33">
        <v>2</v>
      </c>
      <c r="W72" s="21">
        <v>3.8</v>
      </c>
      <c r="AA72" t="s">
        <v>44</v>
      </c>
      <c r="AB72">
        <v>0.61626795574382198</v>
      </c>
      <c r="AC72">
        <v>1</v>
      </c>
      <c r="AD72">
        <v>0.81756804167407293</v>
      </c>
      <c r="AE72">
        <v>-0.38780389502624735</v>
      </c>
      <c r="AF72">
        <v>0.29049492758840245</v>
      </c>
      <c r="AG72">
        <v>-0.24977452746679615</v>
      </c>
      <c r="AH72">
        <v>0.51930095739453375</v>
      </c>
      <c r="AI72">
        <v>-0.52634371019033954</v>
      </c>
    </row>
    <row r="73" spans="3:35">
      <c r="C73" s="2" t="s">
        <v>12</v>
      </c>
      <c r="D73" s="8">
        <v>30029.1</v>
      </c>
      <c r="E73" s="9">
        <v>78.599999999999994</v>
      </c>
      <c r="F73" s="9">
        <v>1.39</v>
      </c>
      <c r="G73" s="9">
        <v>15.2</v>
      </c>
      <c r="H73" s="9">
        <v>6.85</v>
      </c>
      <c r="I73" s="9">
        <v>0.80000000000000071</v>
      </c>
      <c r="J73" s="34">
        <v>11.3</v>
      </c>
      <c r="K73" s="10">
        <v>4.3</v>
      </c>
      <c r="O73" s="2" t="s">
        <v>12</v>
      </c>
      <c r="P73" s="8">
        <v>30029.1</v>
      </c>
      <c r="Q73" s="9">
        <v>78.599999999999994</v>
      </c>
      <c r="R73" s="9">
        <v>1.39</v>
      </c>
      <c r="S73" s="9">
        <v>15.2</v>
      </c>
      <c r="T73" s="9">
        <v>6.85</v>
      </c>
      <c r="U73" s="9">
        <v>0.80000000000000071</v>
      </c>
      <c r="V73" s="34">
        <v>11.3</v>
      </c>
      <c r="W73" s="10">
        <v>4.3</v>
      </c>
      <c r="AA73" t="s">
        <v>45</v>
      </c>
      <c r="AB73">
        <v>0.38552299967205</v>
      </c>
      <c r="AC73">
        <v>0.81756804167407293</v>
      </c>
      <c r="AD73">
        <v>1</v>
      </c>
      <c r="AE73">
        <v>-0.34132368261970347</v>
      </c>
      <c r="AF73">
        <v>0.51845235848826066</v>
      </c>
      <c r="AG73">
        <v>4.5279046798724534E-2</v>
      </c>
      <c r="AH73">
        <v>0.59251009931120202</v>
      </c>
      <c r="AI73">
        <v>-0.55834256188282849</v>
      </c>
    </row>
    <row r="74" spans="3:35">
      <c r="C74" s="2" t="s">
        <v>13</v>
      </c>
      <c r="D74" s="8">
        <v>34664.5</v>
      </c>
      <c r="E74" s="9">
        <v>79.900000000000006</v>
      </c>
      <c r="F74" s="9">
        <v>1.82</v>
      </c>
      <c r="G74" s="9">
        <v>13.4</v>
      </c>
      <c r="H74" s="9">
        <v>14.195</v>
      </c>
      <c r="I74" s="9">
        <v>4.3000000000000007</v>
      </c>
      <c r="J74" s="34">
        <v>20</v>
      </c>
      <c r="K74" s="10">
        <v>0.40000000000000036</v>
      </c>
      <c r="O74" s="2" t="s">
        <v>13</v>
      </c>
      <c r="P74" s="8">
        <v>34664.5</v>
      </c>
      <c r="Q74" s="9">
        <v>79.900000000000006</v>
      </c>
      <c r="R74" s="9">
        <v>1.82</v>
      </c>
      <c r="S74" s="9">
        <v>13.4</v>
      </c>
      <c r="T74" s="9">
        <v>14.195</v>
      </c>
      <c r="U74" s="9">
        <v>4.3000000000000007</v>
      </c>
      <c r="V74" s="34">
        <v>20</v>
      </c>
      <c r="W74" s="10">
        <v>0.40000000000000036</v>
      </c>
      <c r="AA74" t="s">
        <v>46</v>
      </c>
      <c r="AB74">
        <v>-0.54175850871309961</v>
      </c>
      <c r="AC74">
        <v>-0.38780389502624735</v>
      </c>
      <c r="AD74">
        <v>-0.34132368261970347</v>
      </c>
      <c r="AE74">
        <v>1</v>
      </c>
      <c r="AF74">
        <v>-0.11941265770544071</v>
      </c>
      <c r="AG74">
        <v>6.9209196317426919E-2</v>
      </c>
      <c r="AH74">
        <v>-0.51701072047364582</v>
      </c>
      <c r="AI74">
        <v>0.43308639154402517</v>
      </c>
    </row>
    <row r="75" spans="3:35">
      <c r="C75" s="2" t="s">
        <v>15</v>
      </c>
      <c r="D75" s="8">
        <v>30583.4</v>
      </c>
      <c r="E75" s="9">
        <v>79.099999999999994</v>
      </c>
      <c r="F75" s="9">
        <v>1.83</v>
      </c>
      <c r="G75" s="9">
        <v>17.5</v>
      </c>
      <c r="H75" s="9">
        <v>10.79</v>
      </c>
      <c r="I75" s="9">
        <v>0.5</v>
      </c>
      <c r="J75" s="34">
        <v>7.8</v>
      </c>
      <c r="K75" s="10">
        <v>0</v>
      </c>
      <c r="O75" s="2" t="s">
        <v>15</v>
      </c>
      <c r="P75" s="8">
        <v>30583.4</v>
      </c>
      <c r="Q75" s="9">
        <v>79.099999999999994</v>
      </c>
      <c r="R75" s="9">
        <v>1.83</v>
      </c>
      <c r="S75" s="9">
        <v>17.5</v>
      </c>
      <c r="T75" s="9">
        <v>10.79</v>
      </c>
      <c r="U75" s="9">
        <v>0.5</v>
      </c>
      <c r="V75" s="34">
        <v>7.8</v>
      </c>
      <c r="W75" s="10">
        <v>0</v>
      </c>
      <c r="AA75" t="s">
        <v>47</v>
      </c>
      <c r="AB75">
        <v>0.21421182166167221</v>
      </c>
      <c r="AC75">
        <v>0.29049492758840245</v>
      </c>
      <c r="AD75">
        <v>0.51845235848826066</v>
      </c>
      <c r="AE75">
        <v>-0.11941265770544071</v>
      </c>
      <c r="AF75">
        <v>1</v>
      </c>
      <c r="AG75">
        <v>0.33728903457085069</v>
      </c>
      <c r="AH75">
        <v>0.38459255262561259</v>
      </c>
      <c r="AI75">
        <v>-0.47721842423481925</v>
      </c>
    </row>
    <row r="76" spans="3:35">
      <c r="C76" s="2" t="s">
        <v>16</v>
      </c>
      <c r="D76" s="8">
        <v>33263.800000000003</v>
      </c>
      <c r="E76" s="9">
        <v>77.599999999999994</v>
      </c>
      <c r="F76" s="9">
        <v>0.82</v>
      </c>
      <c r="G76" s="9">
        <v>11.6</v>
      </c>
      <c r="H76" s="9">
        <v>7.79</v>
      </c>
      <c r="I76" s="9">
        <v>0</v>
      </c>
      <c r="J76" s="34">
        <v>7.7</v>
      </c>
      <c r="K76" s="10">
        <v>5.0999999999999996</v>
      </c>
      <c r="O76" s="2" t="s">
        <v>16</v>
      </c>
      <c r="P76" s="8">
        <v>33263.800000000003</v>
      </c>
      <c r="Q76" s="9">
        <v>77.599999999999994</v>
      </c>
      <c r="R76" s="9">
        <v>0.82</v>
      </c>
      <c r="S76" s="9">
        <v>11.6</v>
      </c>
      <c r="T76" s="9">
        <v>7.79</v>
      </c>
      <c r="U76" s="9">
        <v>0</v>
      </c>
      <c r="V76" s="34">
        <v>7.7</v>
      </c>
      <c r="W76" s="10">
        <v>5.0999999999999996</v>
      </c>
      <c r="AA76" t="s">
        <v>48</v>
      </c>
      <c r="AB76">
        <v>-0.5640729458677235</v>
      </c>
      <c r="AC76">
        <v>-0.24977452746679615</v>
      </c>
      <c r="AD76">
        <v>4.5279046798724534E-2</v>
      </c>
      <c r="AE76">
        <v>6.9209196317426919E-2</v>
      </c>
      <c r="AF76">
        <v>0.33728903457085069</v>
      </c>
      <c r="AG76">
        <v>1</v>
      </c>
      <c r="AH76">
        <v>0.41881161428672348</v>
      </c>
      <c r="AI76">
        <v>0.18501699053978563</v>
      </c>
    </row>
    <row r="77" spans="3:35">
      <c r="C77" s="2" t="s">
        <v>17</v>
      </c>
      <c r="D77" s="8">
        <v>27195.5</v>
      </c>
      <c r="E77" s="9">
        <v>75.599999999999994</v>
      </c>
      <c r="F77" s="9">
        <v>1.05</v>
      </c>
      <c r="G77" s="9">
        <v>16</v>
      </c>
      <c r="H77" s="9">
        <v>8.6999999999999993</v>
      </c>
      <c r="I77" s="9">
        <v>0.40000000000000036</v>
      </c>
      <c r="J77" s="34">
        <v>6.4</v>
      </c>
      <c r="K77" s="10">
        <v>1.7000000000000002</v>
      </c>
      <c r="O77" s="2" t="s">
        <v>17</v>
      </c>
      <c r="P77" s="8">
        <v>27195.5</v>
      </c>
      <c r="Q77" s="9">
        <v>75.599999999999994</v>
      </c>
      <c r="R77" s="9">
        <v>1.05</v>
      </c>
      <c r="S77" s="9">
        <v>16</v>
      </c>
      <c r="T77" s="9">
        <v>8.6999999999999993</v>
      </c>
      <c r="U77" s="9">
        <v>0.40000000000000036</v>
      </c>
      <c r="V77" s="34">
        <v>6.4</v>
      </c>
      <c r="W77" s="10">
        <v>1.7000000000000002</v>
      </c>
      <c r="AA77" t="s">
        <v>49</v>
      </c>
      <c r="AB77">
        <v>4.4089018880150996E-3</v>
      </c>
      <c r="AC77">
        <v>0.51930095739453375</v>
      </c>
      <c r="AD77">
        <v>0.59251009931120202</v>
      </c>
      <c r="AE77">
        <v>-0.51701072047364582</v>
      </c>
      <c r="AF77">
        <v>0.38459255262561259</v>
      </c>
      <c r="AG77">
        <v>0.41881161428672348</v>
      </c>
      <c r="AH77">
        <v>1</v>
      </c>
      <c r="AI77">
        <v>-0.12090102846711366</v>
      </c>
    </row>
    <row r="78" spans="3:35" ht="15.75" thickBot="1">
      <c r="C78" s="2" t="s">
        <v>18</v>
      </c>
      <c r="D78" s="8">
        <v>29323</v>
      </c>
      <c r="E78" s="9">
        <v>76.7</v>
      </c>
      <c r="F78" s="9">
        <v>1.38</v>
      </c>
      <c r="G78" s="9">
        <v>18.100000000000001</v>
      </c>
      <c r="H78" s="9">
        <v>14.195</v>
      </c>
      <c r="I78" s="9">
        <v>2.8000000000000007</v>
      </c>
      <c r="J78" s="34">
        <v>12.3</v>
      </c>
      <c r="K78" s="10">
        <v>4.4000000000000004</v>
      </c>
      <c r="O78" s="2" t="s">
        <v>18</v>
      </c>
      <c r="P78" s="8">
        <v>29323</v>
      </c>
      <c r="Q78" s="9">
        <v>76.7</v>
      </c>
      <c r="R78" s="9">
        <v>1.38</v>
      </c>
      <c r="S78" s="9">
        <v>18.100000000000001</v>
      </c>
      <c r="T78" s="9">
        <v>14.195</v>
      </c>
      <c r="U78" s="9">
        <v>2.8000000000000007</v>
      </c>
      <c r="V78" s="34">
        <v>12.3</v>
      </c>
      <c r="W78" s="10">
        <v>4.4000000000000004</v>
      </c>
      <c r="AA78" s="37" t="s">
        <v>50</v>
      </c>
      <c r="AB78" s="37">
        <v>-0.60772001392441055</v>
      </c>
      <c r="AC78" s="37">
        <v>-0.52634371019033954</v>
      </c>
      <c r="AD78" s="37">
        <v>-0.55834256188282849</v>
      </c>
      <c r="AE78" s="37">
        <v>0.43308639154402517</v>
      </c>
      <c r="AF78" s="37">
        <v>-0.47721842423481925</v>
      </c>
      <c r="AG78" s="37">
        <v>0.18501699053978563</v>
      </c>
      <c r="AH78" s="37">
        <v>-0.12090102846711366</v>
      </c>
      <c r="AI78" s="37">
        <v>1</v>
      </c>
    </row>
    <row r="79" spans="3:35">
      <c r="C79" s="2" t="s">
        <v>19</v>
      </c>
      <c r="D79" s="8">
        <v>29572.1</v>
      </c>
      <c r="E79" s="9">
        <v>78.400000000000006</v>
      </c>
      <c r="F79" s="9">
        <v>1.56</v>
      </c>
      <c r="G79" s="9">
        <v>12</v>
      </c>
      <c r="H79" s="9">
        <v>9.14</v>
      </c>
      <c r="I79" s="9">
        <v>4.1000000000000005</v>
      </c>
      <c r="J79" s="34">
        <v>15.7</v>
      </c>
      <c r="K79" s="10">
        <v>0.90000000000000036</v>
      </c>
      <c r="O79" s="2" t="s">
        <v>19</v>
      </c>
      <c r="P79" s="8">
        <v>29572.1</v>
      </c>
      <c r="Q79" s="9">
        <v>78.400000000000006</v>
      </c>
      <c r="R79" s="9">
        <v>1.56</v>
      </c>
      <c r="S79" s="9">
        <v>12</v>
      </c>
      <c r="T79" s="9">
        <v>9.14</v>
      </c>
      <c r="U79" s="9">
        <v>4.1000000000000005</v>
      </c>
      <c r="V79" s="34">
        <v>15.7</v>
      </c>
      <c r="W79" s="10">
        <v>0.90000000000000036</v>
      </c>
      <c r="AB79" s="19"/>
    </row>
    <row r="80" spans="3:35">
      <c r="C80" s="2" t="s">
        <v>20</v>
      </c>
      <c r="D80" s="8">
        <v>29431.7</v>
      </c>
      <c r="E80" s="9">
        <v>76.400000000000006</v>
      </c>
      <c r="F80" s="9">
        <v>0.52</v>
      </c>
      <c r="G80" s="9">
        <v>22.3</v>
      </c>
      <c r="H80" s="9">
        <v>8.89</v>
      </c>
      <c r="I80" s="9">
        <v>1.3000000000000007</v>
      </c>
      <c r="J80" s="34">
        <v>0</v>
      </c>
      <c r="K80" s="10">
        <v>6.5</v>
      </c>
      <c r="O80" s="2" t="s">
        <v>20</v>
      </c>
      <c r="P80" s="8">
        <v>29431.7</v>
      </c>
      <c r="Q80" s="9">
        <v>76.400000000000006</v>
      </c>
      <c r="R80" s="9">
        <v>0.52</v>
      </c>
      <c r="S80" s="9">
        <v>22.3</v>
      </c>
      <c r="T80" s="9">
        <v>8.89</v>
      </c>
      <c r="U80" s="9">
        <v>1.3000000000000007</v>
      </c>
      <c r="V80" s="34">
        <v>0</v>
      </c>
      <c r="W80" s="10">
        <v>6.5</v>
      </c>
      <c r="AB80" s="19"/>
    </row>
    <row r="81" spans="2:41">
      <c r="C81" s="2" t="s">
        <v>21</v>
      </c>
      <c r="D81" s="8">
        <v>35052.199999999997</v>
      </c>
      <c r="E81" s="9">
        <v>78.2</v>
      </c>
      <c r="F81" s="9">
        <v>1.03</v>
      </c>
      <c r="G81" s="9">
        <v>12.8</v>
      </c>
      <c r="H81" s="9">
        <v>6.7</v>
      </c>
      <c r="I81" s="9">
        <v>3.2</v>
      </c>
      <c r="J81" s="34">
        <v>14.4</v>
      </c>
      <c r="K81" s="10">
        <v>4.3</v>
      </c>
      <c r="O81" s="2" t="s">
        <v>21</v>
      </c>
      <c r="P81" s="8">
        <v>35052.199999999997</v>
      </c>
      <c r="Q81" s="9">
        <v>78.2</v>
      </c>
      <c r="R81" s="9">
        <v>1.03</v>
      </c>
      <c r="S81" s="9">
        <v>12.8</v>
      </c>
      <c r="T81" s="9">
        <v>6.7</v>
      </c>
      <c r="U81" s="9">
        <v>3.2</v>
      </c>
      <c r="V81" s="34">
        <v>14.4</v>
      </c>
      <c r="W81" s="10">
        <v>4.3</v>
      </c>
      <c r="AA81" s="226" t="s">
        <v>102</v>
      </c>
      <c r="AB81" s="226"/>
      <c r="AC81" s="226"/>
    </row>
    <row r="82" spans="2:41" ht="15.75" thickBot="1">
      <c r="C82" s="3" t="s">
        <v>22</v>
      </c>
      <c r="D82" s="11">
        <v>35052.199999999997</v>
      </c>
      <c r="E82" s="12">
        <v>82</v>
      </c>
      <c r="F82" s="12">
        <v>2.13</v>
      </c>
      <c r="G82" s="12">
        <v>16.399999999999999</v>
      </c>
      <c r="H82" s="12">
        <v>7.44</v>
      </c>
      <c r="I82" s="12">
        <v>1.1000000000000005</v>
      </c>
      <c r="J82" s="35">
        <v>18.3</v>
      </c>
      <c r="K82" s="13">
        <v>4.5</v>
      </c>
      <c r="O82" s="3" t="s">
        <v>22</v>
      </c>
      <c r="P82" s="11">
        <v>35052.199999999997</v>
      </c>
      <c r="Q82" s="12">
        <v>82</v>
      </c>
      <c r="R82" s="12">
        <v>2.13</v>
      </c>
      <c r="S82" s="12">
        <v>16.399999999999999</v>
      </c>
      <c r="T82" s="12">
        <v>7.44</v>
      </c>
      <c r="U82" s="12">
        <v>1.1000000000000005</v>
      </c>
      <c r="V82" s="35">
        <v>18.3</v>
      </c>
      <c r="W82" s="13">
        <v>4.5</v>
      </c>
    </row>
    <row r="83" spans="2:41" ht="16.5" thickTop="1" thickBot="1">
      <c r="C83" s="27">
        <v>2015</v>
      </c>
      <c r="D83" s="28"/>
      <c r="E83" s="29"/>
      <c r="F83" s="29"/>
      <c r="G83" s="29"/>
      <c r="H83" s="29"/>
      <c r="I83" s="29"/>
      <c r="J83" s="29"/>
      <c r="K83" s="30"/>
      <c r="O83" s="27">
        <v>2015</v>
      </c>
      <c r="P83" s="28"/>
      <c r="Q83" s="29"/>
      <c r="R83" s="29"/>
      <c r="S83" s="29"/>
      <c r="T83" s="29"/>
      <c r="U83" s="29"/>
      <c r="V83" s="29"/>
      <c r="W83" s="30"/>
      <c r="AA83" s="38"/>
      <c r="AB83" s="38" t="s">
        <v>43</v>
      </c>
      <c r="AC83" s="38" t="s">
        <v>44</v>
      </c>
      <c r="AD83" s="38" t="s">
        <v>45</v>
      </c>
      <c r="AE83" s="38" t="s">
        <v>46</v>
      </c>
      <c r="AF83" s="38" t="s">
        <v>47</v>
      </c>
      <c r="AG83" s="38" t="s">
        <v>48</v>
      </c>
      <c r="AH83" s="38" t="s">
        <v>49</v>
      </c>
      <c r="AI83" s="111" t="s">
        <v>50</v>
      </c>
    </row>
    <row r="84" spans="2:41" ht="16.5" thickTop="1">
      <c r="C84" s="1" t="s">
        <v>11</v>
      </c>
      <c r="D84">
        <v>13586</v>
      </c>
      <c r="E84">
        <v>74.7</v>
      </c>
      <c r="F84">
        <v>0.95</v>
      </c>
      <c r="G84">
        <v>22.2</v>
      </c>
      <c r="H84">
        <v>3.94</v>
      </c>
      <c r="I84">
        <v>6.1</v>
      </c>
      <c r="J84">
        <v>1.2000000000000028</v>
      </c>
      <c r="K84" s="24">
        <v>6.6</v>
      </c>
      <c r="O84" s="1" t="s">
        <v>11</v>
      </c>
      <c r="P84">
        <v>13586</v>
      </c>
      <c r="Q84">
        <v>74.7</v>
      </c>
      <c r="R84">
        <v>0.95</v>
      </c>
      <c r="S84">
        <v>22.2</v>
      </c>
      <c r="T84">
        <v>3.94</v>
      </c>
      <c r="U84">
        <v>6.1</v>
      </c>
      <c r="V84">
        <v>1.2000000000000028</v>
      </c>
      <c r="W84" s="24">
        <v>6.6</v>
      </c>
      <c r="AA84" t="s">
        <v>43</v>
      </c>
      <c r="AB84">
        <f>ABS(AB71)</f>
        <v>1</v>
      </c>
      <c r="AC84">
        <f t="shared" ref="AC84:AI84" si="47">ABS(AC71)</f>
        <v>0.61626795574382198</v>
      </c>
      <c r="AD84">
        <f t="shared" si="47"/>
        <v>0.38552299967205</v>
      </c>
      <c r="AE84">
        <f t="shared" si="47"/>
        <v>0.54175850871309961</v>
      </c>
      <c r="AF84">
        <f t="shared" si="47"/>
        <v>0.21421182166167221</v>
      </c>
      <c r="AG84">
        <f t="shared" si="47"/>
        <v>0.5640729458677235</v>
      </c>
      <c r="AH84">
        <f t="shared" si="47"/>
        <v>4.4089018880150996E-3</v>
      </c>
      <c r="AI84">
        <f t="shared" si="47"/>
        <v>0.60772001392441055</v>
      </c>
    </row>
    <row r="85" spans="2:41">
      <c r="C85" s="2" t="s">
        <v>12</v>
      </c>
      <c r="D85">
        <v>17084.599999999999</v>
      </c>
      <c r="E85">
        <v>77.5</v>
      </c>
      <c r="F85">
        <v>0.82</v>
      </c>
      <c r="G85">
        <v>20.399999999999999</v>
      </c>
      <c r="H85">
        <v>6.57</v>
      </c>
      <c r="I85">
        <v>1.925</v>
      </c>
      <c r="J85">
        <v>20.100000000000001</v>
      </c>
      <c r="K85" s="24">
        <v>9.6</v>
      </c>
      <c r="O85" s="2" t="s">
        <v>12</v>
      </c>
      <c r="P85">
        <v>17084.599999999999</v>
      </c>
      <c r="Q85">
        <v>77.5</v>
      </c>
      <c r="R85">
        <v>0.82</v>
      </c>
      <c r="S85">
        <v>20.399999999999999</v>
      </c>
      <c r="T85">
        <v>6.57</v>
      </c>
      <c r="U85">
        <v>1.925</v>
      </c>
      <c r="V85">
        <v>20.100000000000001</v>
      </c>
      <c r="W85" s="24">
        <v>9.6</v>
      </c>
      <c r="AA85" t="s">
        <v>44</v>
      </c>
      <c r="AB85">
        <f t="shared" ref="AB85:AI87" si="48">ABS(AB72)</f>
        <v>0.61626795574382198</v>
      </c>
      <c r="AC85">
        <f t="shared" si="48"/>
        <v>1</v>
      </c>
      <c r="AD85">
        <f t="shared" si="48"/>
        <v>0.81756804167407293</v>
      </c>
      <c r="AE85">
        <f t="shared" si="48"/>
        <v>0.38780389502624735</v>
      </c>
      <c r="AF85">
        <f t="shared" si="48"/>
        <v>0.29049492758840245</v>
      </c>
      <c r="AG85">
        <f t="shared" si="48"/>
        <v>0.24977452746679615</v>
      </c>
      <c r="AH85">
        <f t="shared" si="48"/>
        <v>0.51930095739453375</v>
      </c>
      <c r="AI85">
        <f t="shared" si="48"/>
        <v>0.52634371019033954</v>
      </c>
    </row>
    <row r="86" spans="2:41">
      <c r="C86" s="2" t="s">
        <v>13</v>
      </c>
      <c r="D86">
        <v>24603.599999999999</v>
      </c>
      <c r="E86">
        <v>78.7</v>
      </c>
      <c r="F86">
        <v>1.91</v>
      </c>
      <c r="G86">
        <v>12.4</v>
      </c>
      <c r="H86">
        <v>15.3</v>
      </c>
      <c r="I86">
        <v>11.1</v>
      </c>
      <c r="J86">
        <v>31.5</v>
      </c>
      <c r="K86" s="24">
        <v>3</v>
      </c>
      <c r="O86" s="2" t="s">
        <v>13</v>
      </c>
      <c r="P86">
        <v>24603.599999999999</v>
      </c>
      <c r="Q86">
        <v>78.7</v>
      </c>
      <c r="R86">
        <v>1.91</v>
      </c>
      <c r="S86">
        <v>12.4</v>
      </c>
      <c r="T86">
        <v>15.3</v>
      </c>
      <c r="U86">
        <v>11.1</v>
      </c>
      <c r="V86">
        <v>31.5</v>
      </c>
      <c r="W86" s="24">
        <v>3</v>
      </c>
      <c r="AA86" t="s">
        <v>45</v>
      </c>
      <c r="AB86">
        <f t="shared" si="48"/>
        <v>0.38552299967205</v>
      </c>
      <c r="AC86">
        <f t="shared" si="48"/>
        <v>0.81756804167407293</v>
      </c>
      <c r="AD86">
        <f t="shared" si="48"/>
        <v>1</v>
      </c>
      <c r="AE86">
        <f t="shared" si="48"/>
        <v>0.34132368261970347</v>
      </c>
      <c r="AF86">
        <f t="shared" si="48"/>
        <v>0.51845235848826066</v>
      </c>
      <c r="AG86">
        <f t="shared" si="48"/>
        <v>4.5279046798724534E-2</v>
      </c>
      <c r="AH86">
        <f t="shared" si="48"/>
        <v>0.59251009931120202</v>
      </c>
      <c r="AI86">
        <f t="shared" si="48"/>
        <v>0.55834256188282849</v>
      </c>
    </row>
    <row r="87" spans="2:41">
      <c r="C87" s="2" t="s">
        <v>15</v>
      </c>
      <c r="D87">
        <v>21398.400000000001</v>
      </c>
      <c r="E87">
        <v>78</v>
      </c>
      <c r="F87">
        <v>1.44</v>
      </c>
      <c r="G87">
        <v>18.3</v>
      </c>
      <c r="H87">
        <v>16.28</v>
      </c>
      <c r="I87">
        <v>9.7999999999999989</v>
      </c>
      <c r="J87">
        <v>20.9</v>
      </c>
      <c r="K87" s="24">
        <v>0</v>
      </c>
      <c r="O87" s="2" t="s">
        <v>15</v>
      </c>
      <c r="P87">
        <v>21398.400000000001</v>
      </c>
      <c r="Q87">
        <v>78</v>
      </c>
      <c r="R87">
        <v>1.44</v>
      </c>
      <c r="S87">
        <v>18.3</v>
      </c>
      <c r="T87">
        <v>16.28</v>
      </c>
      <c r="U87">
        <v>9.7999999999999989</v>
      </c>
      <c r="V87">
        <v>20.9</v>
      </c>
      <c r="W87" s="24">
        <v>0</v>
      </c>
      <c r="AA87" t="s">
        <v>46</v>
      </c>
      <c r="AB87">
        <f t="shared" si="48"/>
        <v>0.54175850871309961</v>
      </c>
      <c r="AC87">
        <f t="shared" si="48"/>
        <v>0.38780389502624735</v>
      </c>
      <c r="AD87">
        <f t="shared" si="48"/>
        <v>0.34132368261970347</v>
      </c>
      <c r="AE87">
        <f t="shared" si="48"/>
        <v>1</v>
      </c>
      <c r="AF87">
        <f t="shared" si="48"/>
        <v>0.11941265770544071</v>
      </c>
      <c r="AG87">
        <f t="shared" si="48"/>
        <v>6.9209196317426919E-2</v>
      </c>
      <c r="AH87">
        <f t="shared" si="48"/>
        <v>0.51701072047364582</v>
      </c>
      <c r="AI87">
        <f t="shared" si="48"/>
        <v>0.43308639154402517</v>
      </c>
    </row>
    <row r="88" spans="2:41">
      <c r="C88" s="2" t="s">
        <v>16</v>
      </c>
      <c r="D88">
        <v>20741.2</v>
      </c>
      <c r="E88">
        <v>74.599999999999994</v>
      </c>
      <c r="F88">
        <v>0.64</v>
      </c>
      <c r="G88">
        <v>13.8</v>
      </c>
      <c r="H88">
        <v>6.55</v>
      </c>
      <c r="I88">
        <v>7.1</v>
      </c>
      <c r="J88">
        <v>15.100000000000001</v>
      </c>
      <c r="K88" s="24">
        <v>10</v>
      </c>
      <c r="O88" s="2" t="s">
        <v>16</v>
      </c>
      <c r="P88">
        <v>20741.2</v>
      </c>
      <c r="Q88">
        <v>74.599999999999994</v>
      </c>
      <c r="R88">
        <v>0.64</v>
      </c>
      <c r="S88">
        <v>13.8</v>
      </c>
      <c r="T88">
        <v>6.55</v>
      </c>
      <c r="U88">
        <v>7.1</v>
      </c>
      <c r="V88">
        <v>15.100000000000001</v>
      </c>
      <c r="W88" s="24">
        <v>10</v>
      </c>
      <c r="AA88" t="s">
        <v>47</v>
      </c>
      <c r="AB88">
        <f>ABS(AB75)</f>
        <v>0.21421182166167221</v>
      </c>
      <c r="AC88">
        <f t="shared" ref="AC88:AI88" si="49">ABS(AC75)</f>
        <v>0.29049492758840245</v>
      </c>
      <c r="AD88">
        <f t="shared" si="49"/>
        <v>0.51845235848826066</v>
      </c>
      <c r="AE88">
        <f t="shared" si="49"/>
        <v>0.11941265770544071</v>
      </c>
      <c r="AF88">
        <f t="shared" si="49"/>
        <v>1</v>
      </c>
      <c r="AG88">
        <f t="shared" si="49"/>
        <v>0.33728903457085069</v>
      </c>
      <c r="AH88">
        <f t="shared" si="49"/>
        <v>0.38459255262561259</v>
      </c>
      <c r="AI88">
        <f t="shared" si="49"/>
        <v>0.47721842423481925</v>
      </c>
    </row>
    <row r="89" spans="2:41">
      <c r="C89" s="2" t="s">
        <v>17</v>
      </c>
      <c r="D89">
        <v>17354</v>
      </c>
      <c r="E89">
        <v>74.8</v>
      </c>
      <c r="F89">
        <v>1.04</v>
      </c>
      <c r="G89">
        <v>15.6</v>
      </c>
      <c r="H89">
        <v>9.5299999999999994</v>
      </c>
      <c r="I89">
        <v>6.2999999999999989</v>
      </c>
      <c r="J89">
        <v>14.5</v>
      </c>
      <c r="K89" s="24">
        <v>8.6</v>
      </c>
      <c r="O89" s="2" t="s">
        <v>17</v>
      </c>
      <c r="P89">
        <v>17354</v>
      </c>
      <c r="Q89">
        <v>74.8</v>
      </c>
      <c r="R89">
        <v>1.04</v>
      </c>
      <c r="S89">
        <v>15.6</v>
      </c>
      <c r="T89">
        <v>9.5299999999999994</v>
      </c>
      <c r="U89">
        <v>6.2999999999999989</v>
      </c>
      <c r="V89">
        <v>14.5</v>
      </c>
      <c r="W89" s="24">
        <v>8.6</v>
      </c>
      <c r="AA89" t="s">
        <v>48</v>
      </c>
      <c r="AB89">
        <f>ABS(AB76)</f>
        <v>0.5640729458677235</v>
      </c>
      <c r="AC89">
        <f t="shared" ref="AC89:AI89" si="50">ABS(AC76)</f>
        <v>0.24977452746679615</v>
      </c>
      <c r="AD89">
        <f t="shared" si="50"/>
        <v>4.5279046798724534E-2</v>
      </c>
      <c r="AE89">
        <f t="shared" si="50"/>
        <v>6.9209196317426919E-2</v>
      </c>
      <c r="AF89">
        <f t="shared" si="50"/>
        <v>0.33728903457085069</v>
      </c>
      <c r="AG89">
        <f t="shared" si="50"/>
        <v>1</v>
      </c>
      <c r="AH89">
        <f t="shared" si="50"/>
        <v>0.41881161428672348</v>
      </c>
      <c r="AI89">
        <f t="shared" si="50"/>
        <v>0.18501699053978563</v>
      </c>
    </row>
    <row r="90" spans="2:41">
      <c r="C90" s="2" t="s">
        <v>18</v>
      </c>
      <c r="D90">
        <v>19368.900000000001</v>
      </c>
      <c r="E90">
        <v>75.7</v>
      </c>
      <c r="F90">
        <v>1.34</v>
      </c>
      <c r="G90">
        <v>21.9</v>
      </c>
      <c r="H90">
        <v>14.48</v>
      </c>
      <c r="I90">
        <v>9.6</v>
      </c>
      <c r="J90">
        <v>13.899999999999999</v>
      </c>
      <c r="K90" s="24">
        <v>8.3999999999999986</v>
      </c>
      <c r="O90" s="2" t="s">
        <v>18</v>
      </c>
      <c r="P90">
        <v>19368.900000000001</v>
      </c>
      <c r="Q90">
        <v>75.7</v>
      </c>
      <c r="R90">
        <v>1.34</v>
      </c>
      <c r="S90">
        <v>21.9</v>
      </c>
      <c r="T90">
        <v>14.48</v>
      </c>
      <c r="U90">
        <v>9.6</v>
      </c>
      <c r="V90">
        <v>13.899999999999999</v>
      </c>
      <c r="W90" s="24">
        <v>8.3999999999999986</v>
      </c>
      <c r="AA90" t="s">
        <v>49</v>
      </c>
      <c r="AB90">
        <f>ABS(AB77)</f>
        <v>4.4089018880150996E-3</v>
      </c>
      <c r="AC90">
        <f t="shared" ref="AC90:AI90" si="51">ABS(AC77)</f>
        <v>0.51930095739453375</v>
      </c>
      <c r="AD90">
        <f t="shared" si="51"/>
        <v>0.59251009931120202</v>
      </c>
      <c r="AE90">
        <f t="shared" si="51"/>
        <v>0.51701072047364582</v>
      </c>
      <c r="AF90">
        <f t="shared" si="51"/>
        <v>0.38459255262561259</v>
      </c>
      <c r="AG90">
        <f t="shared" si="51"/>
        <v>0.41881161428672348</v>
      </c>
      <c r="AH90">
        <f t="shared" si="51"/>
        <v>1</v>
      </c>
      <c r="AI90">
        <f t="shared" si="51"/>
        <v>0.12090102846711366</v>
      </c>
    </row>
    <row r="91" spans="2:41" ht="15.75" thickBot="1">
      <c r="C91" s="2" t="s">
        <v>19</v>
      </c>
      <c r="D91">
        <v>19407.599999999999</v>
      </c>
      <c r="E91">
        <v>77.5</v>
      </c>
      <c r="F91">
        <v>1</v>
      </c>
      <c r="G91">
        <v>15.2</v>
      </c>
      <c r="H91">
        <v>7.92</v>
      </c>
      <c r="I91">
        <v>8.5</v>
      </c>
      <c r="J91">
        <v>22</v>
      </c>
      <c r="K91" s="24">
        <v>5</v>
      </c>
      <c r="O91" s="2" t="s">
        <v>19</v>
      </c>
      <c r="P91">
        <v>19407.599999999999</v>
      </c>
      <c r="Q91">
        <v>77.5</v>
      </c>
      <c r="R91">
        <v>1</v>
      </c>
      <c r="S91">
        <v>15.2</v>
      </c>
      <c r="T91">
        <v>7.92</v>
      </c>
      <c r="U91">
        <v>8.5</v>
      </c>
      <c r="V91">
        <v>22</v>
      </c>
      <c r="W91" s="24">
        <v>5</v>
      </c>
      <c r="AA91" s="37" t="s">
        <v>50</v>
      </c>
      <c r="AB91" s="37">
        <f>ABS(AB78)</f>
        <v>0.60772001392441055</v>
      </c>
      <c r="AC91" s="37">
        <f t="shared" ref="AC91:AI91" si="52">ABS(AC78)</f>
        <v>0.52634371019033954</v>
      </c>
      <c r="AD91" s="37">
        <f t="shared" si="52"/>
        <v>0.55834256188282849</v>
      </c>
      <c r="AE91" s="37">
        <f t="shared" si="52"/>
        <v>0.43308639154402517</v>
      </c>
      <c r="AF91" s="37">
        <f t="shared" si="52"/>
        <v>0.47721842423481925</v>
      </c>
      <c r="AG91" s="37">
        <f t="shared" si="52"/>
        <v>0.18501699053978563</v>
      </c>
      <c r="AH91" s="37">
        <f t="shared" si="52"/>
        <v>0.12090102846711366</v>
      </c>
      <c r="AI91" s="37">
        <f t="shared" si="52"/>
        <v>1</v>
      </c>
    </row>
    <row r="92" spans="2:41">
      <c r="C92" s="2" t="s">
        <v>20</v>
      </c>
      <c r="D92">
        <v>15543.4</v>
      </c>
      <c r="E92">
        <v>74.900000000000006</v>
      </c>
      <c r="F92">
        <v>0.49</v>
      </c>
      <c r="G92">
        <v>25.5</v>
      </c>
      <c r="H92">
        <v>6.43</v>
      </c>
      <c r="I92">
        <v>7.7999999999999989</v>
      </c>
      <c r="J92">
        <v>0</v>
      </c>
      <c r="K92" s="24">
        <v>10.7</v>
      </c>
      <c r="O92" s="2" t="s">
        <v>20</v>
      </c>
      <c r="P92">
        <v>15543.4</v>
      </c>
      <c r="Q92">
        <v>74.900000000000006</v>
      </c>
      <c r="R92">
        <v>0.49</v>
      </c>
      <c r="S92">
        <v>29.4</v>
      </c>
      <c r="T92">
        <v>6.43</v>
      </c>
      <c r="U92">
        <v>7.7999999999999989</v>
      </c>
      <c r="V92">
        <v>0</v>
      </c>
      <c r="W92" s="24">
        <v>10.7</v>
      </c>
    </row>
    <row r="93" spans="2:41">
      <c r="C93" s="2" t="s">
        <v>21</v>
      </c>
      <c r="D93">
        <v>21683</v>
      </c>
      <c r="E93">
        <v>76.7</v>
      </c>
      <c r="F93">
        <v>1.1499999999999999</v>
      </c>
      <c r="G93">
        <v>14.6</v>
      </c>
      <c r="H93">
        <v>5.35</v>
      </c>
      <c r="I93">
        <v>7.1999999999999993</v>
      </c>
      <c r="J93">
        <v>27.2</v>
      </c>
      <c r="K93" s="24">
        <v>7.6999999999999993</v>
      </c>
      <c r="O93" s="2" t="s">
        <v>21</v>
      </c>
      <c r="P93">
        <v>21683</v>
      </c>
      <c r="Q93">
        <v>76.7</v>
      </c>
      <c r="R93">
        <v>1.1499999999999999</v>
      </c>
      <c r="S93">
        <v>14.6</v>
      </c>
      <c r="T93">
        <v>5.35</v>
      </c>
      <c r="U93">
        <v>7.1999999999999993</v>
      </c>
      <c r="V93">
        <v>27.2</v>
      </c>
      <c r="W93" s="24">
        <v>7.6999999999999993</v>
      </c>
      <c r="AA93" s="36" t="s">
        <v>103</v>
      </c>
      <c r="AB93">
        <f>SUM(AB84:AB91)</f>
        <v>3.9339631474707928</v>
      </c>
      <c r="AC93">
        <f t="shared" ref="AC93:AI93" si="53">SUM(AC84:AC91)</f>
        <v>4.4075540150842141</v>
      </c>
      <c r="AD93">
        <f t="shared" si="53"/>
        <v>4.2589987904468423</v>
      </c>
      <c r="AE93">
        <f t="shared" si="53"/>
        <v>3.4096050523995896</v>
      </c>
      <c r="AF93">
        <f t="shared" si="53"/>
        <v>3.3416717768750588</v>
      </c>
      <c r="AG93">
        <f t="shared" si="53"/>
        <v>2.8694533558480311</v>
      </c>
      <c r="AH93">
        <f t="shared" si="53"/>
        <v>3.5575358744468462</v>
      </c>
      <c r="AI93">
        <f t="shared" si="53"/>
        <v>3.9086291207833224</v>
      </c>
    </row>
    <row r="94" spans="2:41" ht="15.75" thickBot="1">
      <c r="C94" s="3" t="s">
        <v>22</v>
      </c>
      <c r="D94" s="25">
        <v>22534.1</v>
      </c>
      <c r="E94" s="25">
        <v>80.900000000000006</v>
      </c>
      <c r="F94" s="25">
        <v>2.1475</v>
      </c>
      <c r="G94" s="25">
        <v>17.399999999999999</v>
      </c>
      <c r="H94" s="25">
        <v>9.91</v>
      </c>
      <c r="I94" s="25">
        <v>4.6999999999999993</v>
      </c>
      <c r="J94" s="25">
        <v>26.8</v>
      </c>
      <c r="K94" s="26">
        <v>5.7999999999999989</v>
      </c>
      <c r="O94" s="3" t="s">
        <v>22</v>
      </c>
      <c r="P94" s="25">
        <v>22534.1</v>
      </c>
      <c r="Q94" s="25">
        <v>80.900000000000006</v>
      </c>
      <c r="R94" s="25">
        <v>2.1475</v>
      </c>
      <c r="S94" s="25">
        <v>17.399999999999999</v>
      </c>
      <c r="T94" s="25">
        <v>9.91</v>
      </c>
      <c r="U94" s="25">
        <v>4.6999999999999993</v>
      </c>
      <c r="V94" s="25">
        <v>26.8</v>
      </c>
      <c r="W94" s="26">
        <v>5.7999999999999989</v>
      </c>
      <c r="AA94" s="36" t="s">
        <v>104</v>
      </c>
      <c r="AB94">
        <f>1/AB93</f>
        <v>0.25419658560932779</v>
      </c>
      <c r="AC94">
        <f t="shared" ref="AC94:AI94" si="54">1/AC93</f>
        <v>0.22688320927608491</v>
      </c>
      <c r="AD94">
        <f t="shared" si="54"/>
        <v>0.23479696736309305</v>
      </c>
      <c r="AE94">
        <f t="shared" si="54"/>
        <v>0.29328910082891463</v>
      </c>
      <c r="AF94">
        <f t="shared" si="54"/>
        <v>0.29925141269713301</v>
      </c>
      <c r="AG94">
        <f t="shared" si="54"/>
        <v>0.34849843366924588</v>
      </c>
      <c r="AH94">
        <f t="shared" si="54"/>
        <v>0.28109344087935245</v>
      </c>
      <c r="AI94">
        <f t="shared" si="54"/>
        <v>0.25584417684520333</v>
      </c>
      <c r="AJ94">
        <f>SUM(AB94:AI94)</f>
        <v>2.1938533271683549</v>
      </c>
      <c r="AL94" s="227" t="s">
        <v>105</v>
      </c>
      <c r="AM94" s="227"/>
      <c r="AN94" s="227"/>
      <c r="AO94" s="227"/>
    </row>
    <row r="95" spans="2:41" ht="15.75" thickTop="1">
      <c r="B95" s="31" t="s">
        <v>51</v>
      </c>
      <c r="D95" s="19">
        <f>AVERAGE(D72:D94)</f>
        <v>25088.963181818184</v>
      </c>
      <c r="E95" s="19">
        <f t="shared" ref="E95:K95" si="55">AVERAGE(E72:E94)</f>
        <v>77.377272727272739</v>
      </c>
      <c r="F95" s="19">
        <f t="shared" si="55"/>
        <v>1.2385227272727273</v>
      </c>
      <c r="G95" s="19">
        <f t="shared" si="55"/>
        <v>16.877272727272729</v>
      </c>
      <c r="H95" s="19">
        <f t="shared" si="55"/>
        <v>9.2013636363636362</v>
      </c>
      <c r="I95" s="19">
        <f t="shared" si="55"/>
        <v>4.6011363636363631</v>
      </c>
      <c r="J95" s="19">
        <f t="shared" si="55"/>
        <v>14.05</v>
      </c>
      <c r="K95" s="19">
        <f t="shared" si="55"/>
        <v>5.0590909090909086</v>
      </c>
      <c r="N95" s="31" t="s">
        <v>51</v>
      </c>
      <c r="P95" s="19">
        <f>AVERAGE(P72:P94)</f>
        <v>25088.963181818184</v>
      </c>
      <c r="Q95" s="19">
        <f t="shared" ref="Q95" si="56">AVERAGE(Q72:Q94)</f>
        <v>77.377272727272739</v>
      </c>
      <c r="R95" s="19">
        <f t="shared" ref="R95" si="57">AVERAGE(R72:R94)</f>
        <v>1.2385227272727273</v>
      </c>
      <c r="S95" s="19">
        <f t="shared" ref="S95" si="58">AVERAGE(S72:S94)</f>
        <v>17.054545454545455</v>
      </c>
      <c r="T95" s="19">
        <f t="shared" ref="T95" si="59">AVERAGE(T72:T94)</f>
        <v>9.2013636363636362</v>
      </c>
      <c r="U95" s="19">
        <f t="shared" ref="U95" si="60">AVERAGE(U72:U94)</f>
        <v>4.6011363636363631</v>
      </c>
      <c r="V95" s="19">
        <f t="shared" ref="V95" si="61">AVERAGE(V72:V94)</f>
        <v>14.05</v>
      </c>
      <c r="W95" s="19">
        <f t="shared" ref="W95" si="62">AVERAGE(W72:W94)</f>
        <v>5.0590909090909086</v>
      </c>
      <c r="AA95" s="36" t="s">
        <v>106</v>
      </c>
      <c r="AB95">
        <f>AB94/$AJ$94</f>
        <v>0.11586763001035433</v>
      </c>
      <c r="AC95">
        <f t="shared" ref="AC95:AI95" si="63">AC94/$AJ$94</f>
        <v>0.10341767449373065</v>
      </c>
      <c r="AD95">
        <f t="shared" si="63"/>
        <v>0.10702491568392571</v>
      </c>
      <c r="AE95">
        <f t="shared" si="63"/>
        <v>0.13368674067535227</v>
      </c>
      <c r="AF95">
        <f t="shared" si="63"/>
        <v>0.13640447562799565</v>
      </c>
      <c r="AG95">
        <f t="shared" si="63"/>
        <v>0.15885220281296514</v>
      </c>
      <c r="AH95">
        <f t="shared" si="63"/>
        <v>0.12812772731810868</v>
      </c>
      <c r="AI95">
        <f t="shared" si="63"/>
        <v>0.11661863337756764</v>
      </c>
      <c r="AL95" s="20">
        <f>SUM(AB95:AI95)</f>
        <v>1</v>
      </c>
    </row>
    <row r="96" spans="2:41">
      <c r="B96" s="31" t="s">
        <v>52</v>
      </c>
      <c r="D96">
        <f>_xlfn.STDEV.P(D72:D94)</f>
        <v>6524.6086549737083</v>
      </c>
      <c r="E96">
        <f t="shared" ref="E96:K96" si="64">_xlfn.STDEV.P(E72:E94)</f>
        <v>1.9833240734094093</v>
      </c>
      <c r="F96">
        <f t="shared" si="64"/>
        <v>0.486626057602772</v>
      </c>
      <c r="G96">
        <f t="shared" si="64"/>
        <v>3.6960583203512858</v>
      </c>
      <c r="H96">
        <f t="shared" si="64"/>
        <v>3.4709378421591253</v>
      </c>
      <c r="I96">
        <f t="shared" si="64"/>
        <v>3.3560366003998148</v>
      </c>
      <c r="J96">
        <f t="shared" si="64"/>
        <v>8.7853571355978435</v>
      </c>
      <c r="K96">
        <f t="shared" si="64"/>
        <v>3.1747095917163102</v>
      </c>
      <c r="N96" s="31" t="s">
        <v>52</v>
      </c>
      <c r="P96">
        <f>_xlfn.STDEV.P(P72:P94)</f>
        <v>6524.6086549737083</v>
      </c>
      <c r="Q96">
        <f t="shared" ref="Q96:W96" si="65">_xlfn.STDEV.P(Q72:Q94)</f>
        <v>1.9833240734094093</v>
      </c>
      <c r="R96">
        <f t="shared" si="65"/>
        <v>0.486626057602772</v>
      </c>
      <c r="S96">
        <f t="shared" si="65"/>
        <v>4.1686849106519848</v>
      </c>
      <c r="T96">
        <f t="shared" si="65"/>
        <v>3.4709378421591253</v>
      </c>
      <c r="U96">
        <f t="shared" si="65"/>
        <v>3.3560366003998148</v>
      </c>
      <c r="V96">
        <f t="shared" si="65"/>
        <v>8.7853571355978435</v>
      </c>
      <c r="W96">
        <f t="shared" si="65"/>
        <v>3.1747095917163102</v>
      </c>
    </row>
    <row r="97" spans="2:23">
      <c r="B97" s="31" t="s">
        <v>53</v>
      </c>
      <c r="D97">
        <f t="shared" ref="D97:K97" si="66">D96/D95</f>
        <v>0.26005891944159937</v>
      </c>
      <c r="E97">
        <f t="shared" si="66"/>
        <v>2.5631868422138871E-2</v>
      </c>
      <c r="F97">
        <f t="shared" si="66"/>
        <v>0.39290846012518521</v>
      </c>
      <c r="G97">
        <f t="shared" si="66"/>
        <v>0.21899618380750951</v>
      </c>
      <c r="H97">
        <f t="shared" si="66"/>
        <v>0.37721994036210421</v>
      </c>
      <c r="I97">
        <f t="shared" si="66"/>
        <v>0.72939298798514129</v>
      </c>
      <c r="J97">
        <f t="shared" si="66"/>
        <v>0.62529232281835179</v>
      </c>
      <c r="K97">
        <f t="shared" si="66"/>
        <v>0.62752570546054653</v>
      </c>
      <c r="N97" s="31" t="s">
        <v>53</v>
      </c>
      <c r="P97">
        <f t="shared" ref="P97:W97" si="67">P96/P95</f>
        <v>0.26005891944159937</v>
      </c>
      <c r="Q97">
        <f t="shared" si="67"/>
        <v>2.5631868422138871E-2</v>
      </c>
      <c r="R97">
        <f t="shared" si="67"/>
        <v>0.39290846012518521</v>
      </c>
      <c r="S97">
        <f t="shared" si="67"/>
        <v>0.24443248410006307</v>
      </c>
      <c r="T97">
        <f t="shared" si="67"/>
        <v>0.37721994036210421</v>
      </c>
      <c r="U97">
        <f t="shared" si="67"/>
        <v>0.72939298798514129</v>
      </c>
      <c r="V97">
        <f t="shared" si="67"/>
        <v>0.62529232281835179</v>
      </c>
      <c r="W97">
        <f t="shared" si="67"/>
        <v>0.62752570546054653</v>
      </c>
    </row>
    <row r="98" spans="2:23">
      <c r="B98" s="31" t="s">
        <v>54</v>
      </c>
      <c r="D98" s="19">
        <f>MIN(D72:D94)</f>
        <v>13586</v>
      </c>
      <c r="E98" s="19">
        <f t="shared" ref="E98:K98" si="68">MIN(E72:E94)</f>
        <v>74.599999999999994</v>
      </c>
      <c r="F98" s="19">
        <f t="shared" si="68"/>
        <v>0.49</v>
      </c>
      <c r="G98" s="19">
        <f t="shared" si="68"/>
        <v>11.6</v>
      </c>
      <c r="H98" s="19">
        <f t="shared" si="68"/>
        <v>3.94</v>
      </c>
      <c r="I98" s="19">
        <f t="shared" si="68"/>
        <v>0</v>
      </c>
      <c r="J98" s="19">
        <f t="shared" si="68"/>
        <v>0</v>
      </c>
      <c r="K98" s="19">
        <f t="shared" si="68"/>
        <v>0</v>
      </c>
      <c r="N98" s="31" t="s">
        <v>54</v>
      </c>
      <c r="P98" s="19">
        <f>MIN(P72:P94)</f>
        <v>13586</v>
      </c>
      <c r="Q98" s="19">
        <f t="shared" ref="Q98:W98" si="69">MIN(Q72:Q94)</f>
        <v>74.599999999999994</v>
      </c>
      <c r="R98" s="19">
        <f t="shared" si="69"/>
        <v>0.49</v>
      </c>
      <c r="S98" s="19">
        <f t="shared" si="69"/>
        <v>11.6</v>
      </c>
      <c r="T98" s="19">
        <f t="shared" si="69"/>
        <v>3.94</v>
      </c>
      <c r="U98" s="19">
        <f t="shared" si="69"/>
        <v>0</v>
      </c>
      <c r="V98" s="19">
        <f t="shared" si="69"/>
        <v>0</v>
      </c>
      <c r="W98" s="19">
        <f t="shared" si="69"/>
        <v>0</v>
      </c>
    </row>
    <row r="99" spans="2:23">
      <c r="B99" s="31" t="s">
        <v>55</v>
      </c>
      <c r="D99" s="19">
        <f>MAX(D72:D94)</f>
        <v>35052.199999999997</v>
      </c>
      <c r="E99" s="19">
        <f t="shared" ref="E99:J99" si="70">MAX(E72:E94)</f>
        <v>82</v>
      </c>
      <c r="F99" s="19">
        <f t="shared" si="70"/>
        <v>2.1475</v>
      </c>
      <c r="G99" s="19">
        <f t="shared" si="70"/>
        <v>25.5</v>
      </c>
      <c r="H99" s="19">
        <f t="shared" si="70"/>
        <v>16.28</v>
      </c>
      <c r="I99" s="19">
        <f t="shared" si="70"/>
        <v>11.1</v>
      </c>
      <c r="J99" s="19">
        <f t="shared" si="70"/>
        <v>31.5</v>
      </c>
      <c r="K99" s="19">
        <f>MAX(K72:K94)</f>
        <v>10.7</v>
      </c>
      <c r="N99" s="31" t="s">
        <v>55</v>
      </c>
      <c r="P99" s="19">
        <f>MAX(P72:P94)</f>
        <v>35052.199999999997</v>
      </c>
      <c r="Q99" s="19">
        <f t="shared" ref="Q99:V99" si="71">MAX(Q72:Q94)</f>
        <v>82</v>
      </c>
      <c r="R99" s="19">
        <f t="shared" si="71"/>
        <v>2.1475</v>
      </c>
      <c r="S99" s="19">
        <f t="shared" si="71"/>
        <v>29.4</v>
      </c>
      <c r="T99" s="19">
        <f t="shared" si="71"/>
        <v>16.28</v>
      </c>
      <c r="U99" s="19">
        <f t="shared" si="71"/>
        <v>11.1</v>
      </c>
      <c r="V99" s="19">
        <f t="shared" si="71"/>
        <v>31.5</v>
      </c>
      <c r="W99" s="19">
        <f>MAX(W72:W94)</f>
        <v>10.7</v>
      </c>
    </row>
    <row r="100" spans="2:23">
      <c r="B100" s="31" t="s">
        <v>56</v>
      </c>
      <c r="D100" s="19">
        <f t="shared" ref="D100:K100" si="72">D99-D98</f>
        <v>21466.199999999997</v>
      </c>
      <c r="E100">
        <f t="shared" si="72"/>
        <v>7.4000000000000057</v>
      </c>
      <c r="F100">
        <f t="shared" si="72"/>
        <v>1.6575</v>
      </c>
      <c r="G100">
        <f t="shared" si="72"/>
        <v>13.9</v>
      </c>
      <c r="H100">
        <f t="shared" si="72"/>
        <v>12.340000000000002</v>
      </c>
      <c r="I100">
        <f t="shared" si="72"/>
        <v>11.1</v>
      </c>
      <c r="J100">
        <f t="shared" si="72"/>
        <v>31.5</v>
      </c>
      <c r="K100" s="19">
        <f t="shared" si="72"/>
        <v>10.7</v>
      </c>
      <c r="N100" s="31" t="s">
        <v>56</v>
      </c>
      <c r="P100" s="19">
        <f t="shared" ref="P100:W100" si="73">P99-P98</f>
        <v>21466.199999999997</v>
      </c>
      <c r="Q100">
        <f t="shared" si="73"/>
        <v>7.4000000000000057</v>
      </c>
      <c r="R100">
        <f t="shared" si="73"/>
        <v>1.6575</v>
      </c>
      <c r="S100">
        <f t="shared" si="73"/>
        <v>17.799999999999997</v>
      </c>
      <c r="T100">
        <f t="shared" si="73"/>
        <v>12.340000000000002</v>
      </c>
      <c r="U100">
        <f t="shared" si="73"/>
        <v>11.1</v>
      </c>
      <c r="V100">
        <f t="shared" si="73"/>
        <v>31.5</v>
      </c>
      <c r="W100" s="19">
        <f t="shared" si="73"/>
        <v>10.7</v>
      </c>
    </row>
    <row r="101" spans="2:23">
      <c r="B101" s="31" t="s">
        <v>57</v>
      </c>
      <c r="D101">
        <f>QUARTILE(D72:D94,1)</f>
        <v>19741</v>
      </c>
      <c r="E101">
        <f t="shared" ref="E101:K101" si="74">QUARTILE(E72:E94,1)</f>
        <v>75.724999999999994</v>
      </c>
      <c r="F101">
        <f t="shared" si="74"/>
        <v>0.85249999999999992</v>
      </c>
      <c r="G101">
        <f t="shared" si="74"/>
        <v>14</v>
      </c>
      <c r="H101">
        <f t="shared" si="74"/>
        <v>6.6025</v>
      </c>
      <c r="I101">
        <f t="shared" si="74"/>
        <v>1.4562500000000005</v>
      </c>
      <c r="J101">
        <f t="shared" si="74"/>
        <v>7.7249999999999996</v>
      </c>
      <c r="K101">
        <f t="shared" si="74"/>
        <v>3.2</v>
      </c>
      <c r="N101" s="31" t="s">
        <v>57</v>
      </c>
      <c r="P101">
        <f>QUARTILE(P72:P94,1)</f>
        <v>19741</v>
      </c>
      <c r="Q101">
        <f t="shared" ref="Q101:W101" si="75">QUARTILE(Q72:Q94,1)</f>
        <v>75.724999999999994</v>
      </c>
      <c r="R101">
        <f t="shared" si="75"/>
        <v>0.85249999999999992</v>
      </c>
      <c r="S101">
        <f t="shared" si="75"/>
        <v>14</v>
      </c>
      <c r="T101">
        <f t="shared" si="75"/>
        <v>6.6025</v>
      </c>
      <c r="U101">
        <f t="shared" si="75"/>
        <v>1.4562500000000005</v>
      </c>
      <c r="V101">
        <f t="shared" si="75"/>
        <v>7.7249999999999996</v>
      </c>
      <c r="W101">
        <f t="shared" si="75"/>
        <v>3.2</v>
      </c>
    </row>
    <row r="102" spans="2:23">
      <c r="B102" s="31" t="s">
        <v>58</v>
      </c>
      <c r="D102">
        <f>QUARTILE(D72:D94,3)</f>
        <v>29914.85</v>
      </c>
      <c r="E102">
        <f t="shared" ref="E102:J102" si="76">QUARTILE(E72:E94,3)</f>
        <v>78.55</v>
      </c>
      <c r="F102">
        <f t="shared" si="76"/>
        <v>1.53</v>
      </c>
      <c r="G102">
        <f t="shared" si="76"/>
        <v>18.600000000000001</v>
      </c>
      <c r="H102">
        <f t="shared" si="76"/>
        <v>10.57</v>
      </c>
      <c r="I102">
        <f t="shared" si="76"/>
        <v>7.1749999999999989</v>
      </c>
      <c r="J102">
        <f t="shared" si="76"/>
        <v>20.075000000000003</v>
      </c>
      <c r="K102">
        <f>QUARTILE(K72:K94,3)</f>
        <v>7.4249999999999989</v>
      </c>
      <c r="N102" s="31" t="s">
        <v>58</v>
      </c>
      <c r="P102">
        <f>QUARTILE(P72:P94,3)</f>
        <v>29914.85</v>
      </c>
      <c r="Q102">
        <f t="shared" ref="Q102:V102" si="77">QUARTILE(Q72:Q94,3)</f>
        <v>78.55</v>
      </c>
      <c r="R102">
        <f t="shared" si="77"/>
        <v>1.53</v>
      </c>
      <c r="S102">
        <f t="shared" si="77"/>
        <v>18.600000000000001</v>
      </c>
      <c r="T102">
        <f t="shared" si="77"/>
        <v>10.57</v>
      </c>
      <c r="U102">
        <f t="shared" si="77"/>
        <v>7.1749999999999989</v>
      </c>
      <c r="V102">
        <f t="shared" si="77"/>
        <v>20.075000000000003</v>
      </c>
      <c r="W102">
        <f>QUARTILE(W72:W94,3)</f>
        <v>7.4249999999999989</v>
      </c>
    </row>
    <row r="103" spans="2:23">
      <c r="B103" s="31" t="s">
        <v>59</v>
      </c>
      <c r="D103">
        <f t="shared" ref="D103:K103" si="78">D102-D101</f>
        <v>10173.849999999999</v>
      </c>
      <c r="E103">
        <f t="shared" si="78"/>
        <v>2.8250000000000028</v>
      </c>
      <c r="F103">
        <f t="shared" si="78"/>
        <v>0.6775000000000001</v>
      </c>
      <c r="G103">
        <f t="shared" si="78"/>
        <v>4.6000000000000014</v>
      </c>
      <c r="H103">
        <f t="shared" si="78"/>
        <v>3.9675000000000002</v>
      </c>
      <c r="I103">
        <f t="shared" si="78"/>
        <v>5.7187499999999982</v>
      </c>
      <c r="J103">
        <f t="shared" si="78"/>
        <v>12.350000000000003</v>
      </c>
      <c r="K103">
        <f t="shared" si="78"/>
        <v>4.2249999999999988</v>
      </c>
      <c r="N103" s="31" t="s">
        <v>59</v>
      </c>
      <c r="P103">
        <f t="shared" ref="P103:W103" si="79">P102-P101</f>
        <v>10173.849999999999</v>
      </c>
      <c r="Q103">
        <f t="shared" si="79"/>
        <v>2.8250000000000028</v>
      </c>
      <c r="R103">
        <f t="shared" si="79"/>
        <v>0.6775000000000001</v>
      </c>
      <c r="S103">
        <f t="shared" si="79"/>
        <v>4.6000000000000014</v>
      </c>
      <c r="T103">
        <f t="shared" si="79"/>
        <v>3.9675000000000002</v>
      </c>
      <c r="U103">
        <f t="shared" si="79"/>
        <v>5.7187499999999982</v>
      </c>
      <c r="V103">
        <f t="shared" si="79"/>
        <v>12.350000000000003</v>
      </c>
      <c r="W103">
        <f t="shared" si="79"/>
        <v>4.2249999999999988</v>
      </c>
    </row>
    <row r="104" spans="2:23">
      <c r="B104" s="31" t="s">
        <v>60</v>
      </c>
      <c r="D104">
        <f t="shared" ref="D104:K104" si="80">D101-1.5*D103</f>
        <v>4480.2250000000022</v>
      </c>
      <c r="E104">
        <f t="shared" si="80"/>
        <v>71.487499999999983</v>
      </c>
      <c r="F104">
        <f t="shared" si="80"/>
        <v>-0.16375000000000017</v>
      </c>
      <c r="G104">
        <f t="shared" si="80"/>
        <v>7.0999999999999979</v>
      </c>
      <c r="H104">
        <f t="shared" si="80"/>
        <v>0.65125000000000011</v>
      </c>
      <c r="I104">
        <f t="shared" si="80"/>
        <v>-7.1218749999999957</v>
      </c>
      <c r="J104">
        <f t="shared" si="80"/>
        <v>-10.800000000000006</v>
      </c>
      <c r="K104">
        <f t="shared" si="80"/>
        <v>-3.1374999999999984</v>
      </c>
      <c r="N104" s="31" t="s">
        <v>60</v>
      </c>
      <c r="P104">
        <f t="shared" ref="P104:W104" si="81">P101-1.5*P103</f>
        <v>4480.2250000000022</v>
      </c>
      <c r="Q104">
        <f t="shared" si="81"/>
        <v>71.487499999999983</v>
      </c>
      <c r="R104">
        <f t="shared" si="81"/>
        <v>-0.16375000000000017</v>
      </c>
      <c r="S104">
        <f t="shared" si="81"/>
        <v>7.0999999999999979</v>
      </c>
      <c r="T104">
        <f t="shared" si="81"/>
        <v>0.65125000000000011</v>
      </c>
      <c r="U104">
        <f t="shared" si="81"/>
        <v>-7.1218749999999957</v>
      </c>
      <c r="V104">
        <f t="shared" si="81"/>
        <v>-10.800000000000006</v>
      </c>
      <c r="W104">
        <f t="shared" si="81"/>
        <v>-3.1374999999999984</v>
      </c>
    </row>
    <row r="105" spans="2:23">
      <c r="B105" s="31" t="s">
        <v>61</v>
      </c>
      <c r="D105">
        <f t="shared" ref="D105:K105" si="82">D102+1.5*D103</f>
        <v>45175.625</v>
      </c>
      <c r="E105">
        <f t="shared" si="82"/>
        <v>82.787499999999994</v>
      </c>
      <c r="F105">
        <f t="shared" si="82"/>
        <v>2.5462500000000001</v>
      </c>
      <c r="G105">
        <f t="shared" si="82"/>
        <v>25.500000000000004</v>
      </c>
      <c r="H105">
        <f t="shared" si="82"/>
        <v>16.521250000000002</v>
      </c>
      <c r="I105">
        <f t="shared" si="82"/>
        <v>15.753124999999995</v>
      </c>
      <c r="J105">
        <f t="shared" si="82"/>
        <v>38.600000000000009</v>
      </c>
      <c r="K105">
        <f t="shared" si="82"/>
        <v>13.762499999999998</v>
      </c>
      <c r="N105" s="31" t="s">
        <v>61</v>
      </c>
      <c r="P105">
        <f t="shared" ref="P105:W105" si="83">P102+1.5*P103</f>
        <v>45175.625</v>
      </c>
      <c r="Q105">
        <f t="shared" si="83"/>
        <v>82.787499999999994</v>
      </c>
      <c r="R105">
        <f t="shared" si="83"/>
        <v>2.5462500000000001</v>
      </c>
      <c r="S105">
        <f t="shared" si="83"/>
        <v>25.500000000000004</v>
      </c>
      <c r="T105">
        <f t="shared" si="83"/>
        <v>16.521250000000002</v>
      </c>
      <c r="U105">
        <f t="shared" si="83"/>
        <v>15.753124999999995</v>
      </c>
      <c r="V105">
        <f t="shared" si="83"/>
        <v>38.600000000000009</v>
      </c>
      <c r="W105">
        <f t="shared" si="83"/>
        <v>13.762499999999998</v>
      </c>
    </row>
    <row r="106" spans="2:23">
      <c r="B106" s="31" t="s">
        <v>62</v>
      </c>
      <c r="D106" t="str">
        <f t="shared" ref="D106:K106" si="84">IF(D98&lt;D104,"tak","nie")</f>
        <v>nie</v>
      </c>
      <c r="E106" t="str">
        <f t="shared" si="84"/>
        <v>nie</v>
      </c>
      <c r="F106" t="str">
        <f t="shared" si="84"/>
        <v>nie</v>
      </c>
      <c r="G106" t="str">
        <f t="shared" si="84"/>
        <v>nie</v>
      </c>
      <c r="H106" t="str">
        <f t="shared" si="84"/>
        <v>nie</v>
      </c>
      <c r="I106" t="str">
        <f t="shared" si="84"/>
        <v>nie</v>
      </c>
      <c r="J106" t="str">
        <f t="shared" si="84"/>
        <v>nie</v>
      </c>
      <c r="K106" t="str">
        <f t="shared" si="84"/>
        <v>nie</v>
      </c>
      <c r="N106" s="31" t="s">
        <v>62</v>
      </c>
      <c r="P106" t="str">
        <f t="shared" ref="P106:W106" si="85">IF(P98&lt;P104,"tak","nie")</f>
        <v>nie</v>
      </c>
      <c r="Q106" t="str">
        <f t="shared" si="85"/>
        <v>nie</v>
      </c>
      <c r="R106" t="str">
        <f t="shared" si="85"/>
        <v>nie</v>
      </c>
      <c r="S106" t="str">
        <f t="shared" si="85"/>
        <v>nie</v>
      </c>
      <c r="T106" t="str">
        <f t="shared" si="85"/>
        <v>nie</v>
      </c>
      <c r="U106" t="str">
        <f t="shared" si="85"/>
        <v>nie</v>
      </c>
      <c r="V106" t="str">
        <f t="shared" si="85"/>
        <v>nie</v>
      </c>
      <c r="W106" t="str">
        <f t="shared" si="85"/>
        <v>nie</v>
      </c>
    </row>
    <row r="107" spans="2:23">
      <c r="B107" s="31" t="s">
        <v>63</v>
      </c>
      <c r="D107" t="str">
        <f t="shared" ref="D107:K107" si="86">IF(D99&gt;D105,"tak","nie")</f>
        <v>nie</v>
      </c>
      <c r="E107" t="str">
        <f t="shared" si="86"/>
        <v>nie</v>
      </c>
      <c r="F107" t="str">
        <f t="shared" si="86"/>
        <v>nie</v>
      </c>
      <c r="G107" s="32" t="str">
        <f t="shared" si="86"/>
        <v>nie</v>
      </c>
      <c r="H107" t="str">
        <f t="shared" si="86"/>
        <v>nie</v>
      </c>
      <c r="I107" t="str">
        <f t="shared" si="86"/>
        <v>nie</v>
      </c>
      <c r="J107" t="str">
        <f t="shared" si="86"/>
        <v>nie</v>
      </c>
      <c r="K107" t="str">
        <f t="shared" si="86"/>
        <v>nie</v>
      </c>
      <c r="N107" s="31" t="s">
        <v>63</v>
      </c>
      <c r="P107" t="str">
        <f t="shared" ref="P107:W107" si="87">IF(P99&gt;P105,"tak","nie")</f>
        <v>nie</v>
      </c>
      <c r="Q107" t="str">
        <f t="shared" si="87"/>
        <v>nie</v>
      </c>
      <c r="R107" t="str">
        <f t="shared" si="87"/>
        <v>nie</v>
      </c>
      <c r="S107" s="32" t="str">
        <f t="shared" si="87"/>
        <v>tak</v>
      </c>
      <c r="T107" t="str">
        <f t="shared" si="87"/>
        <v>nie</v>
      </c>
      <c r="U107" t="str">
        <f t="shared" si="87"/>
        <v>nie</v>
      </c>
      <c r="V107" t="str">
        <f t="shared" si="87"/>
        <v>nie</v>
      </c>
      <c r="W107" t="str">
        <f t="shared" si="87"/>
        <v>nie</v>
      </c>
    </row>
    <row r="134" spans="2:21" ht="15.75" thickBot="1"/>
    <row r="135" spans="2:21" ht="16.5" thickTop="1" thickBot="1">
      <c r="B135" s="27">
        <v>2015</v>
      </c>
      <c r="C135" s="28" t="s">
        <v>43</v>
      </c>
      <c r="D135" s="29" t="s">
        <v>44</v>
      </c>
      <c r="E135" s="29" t="s">
        <v>45</v>
      </c>
      <c r="F135" s="29" t="s">
        <v>46</v>
      </c>
      <c r="G135" s="29" t="s">
        <v>47</v>
      </c>
      <c r="H135" s="29" t="s">
        <v>48</v>
      </c>
      <c r="I135" s="29" t="s">
        <v>49</v>
      </c>
      <c r="J135" s="30" t="s">
        <v>50</v>
      </c>
      <c r="M135" s="27">
        <v>2023</v>
      </c>
      <c r="N135" s="44" t="s">
        <v>43</v>
      </c>
      <c r="O135" s="22" t="s">
        <v>44</v>
      </c>
      <c r="P135" s="22" t="s">
        <v>45</v>
      </c>
      <c r="Q135" s="22" t="s">
        <v>46</v>
      </c>
      <c r="R135" s="22" t="s">
        <v>47</v>
      </c>
      <c r="S135" s="22" t="s">
        <v>48</v>
      </c>
      <c r="T135" s="22" t="s">
        <v>49</v>
      </c>
      <c r="U135" s="23" t="s">
        <v>50</v>
      </c>
    </row>
    <row r="136" spans="2:21" ht="16.5" thickTop="1">
      <c r="B136" s="1" t="s">
        <v>11</v>
      </c>
      <c r="C136" s="44">
        <f t="shared" ref="C136:J146" si="88">(D84-D$95)/D$96</f>
        <v>-1.7630119736069498</v>
      </c>
      <c r="D136" s="22">
        <f t="shared" si="88"/>
        <v>-1.3498917111767836</v>
      </c>
      <c r="E136" s="22">
        <f t="shared" si="88"/>
        <v>-0.59290439294199393</v>
      </c>
      <c r="F136" s="22">
        <f t="shared" si="88"/>
        <v>1.4401091139225803</v>
      </c>
      <c r="G136" s="22">
        <f t="shared" si="88"/>
        <v>-1.5158334362711499</v>
      </c>
      <c r="H136" s="22">
        <f t="shared" si="88"/>
        <v>0.44661719010605316</v>
      </c>
      <c r="I136" s="22">
        <f t="shared" si="88"/>
        <v>-1.4626610849924835</v>
      </c>
      <c r="J136" s="23">
        <f t="shared" si="88"/>
        <v>0.4853700933558604</v>
      </c>
      <c r="M136" s="81" t="s">
        <v>11</v>
      </c>
      <c r="N136" s="146">
        <f t="shared" ref="N136:N146" si="89">(D72-D$95)/D$96</f>
        <v>-9.2583818242907165E-2</v>
      </c>
      <c r="O136" s="147">
        <f t="shared" ref="O136:O146" si="90">(E72-E$95)/E$96</f>
        <v>-0.79526727296833066</v>
      </c>
      <c r="P136" s="147">
        <f t="shared" ref="P136:P146" si="91">(F72-F$95)/F$96</f>
        <v>-0.92169895192676232</v>
      </c>
      <c r="Q136" s="147">
        <f t="shared" ref="Q136:Q146" si="92">(G72-G$95)/G$96</f>
        <v>0.49315435925102841</v>
      </c>
      <c r="R136" s="147">
        <f t="shared" ref="R136:R146" si="93">(H72-H$95)/H$96</f>
        <v>-1.0721493168684149</v>
      </c>
      <c r="S136" s="147">
        <f t="shared" ref="S136:S146" si="94">(I72-I$95)/I$96</f>
        <v>-0.59627966017949896</v>
      </c>
      <c r="T136" s="147">
        <f t="shared" ref="T136:T146" si="95">(J72-J$95)/J$96</f>
        <v>-1.3716004726972317</v>
      </c>
      <c r="U136" s="148">
        <f t="shared" ref="U136:U146" si="96">(K72-K$95)/K$96</f>
        <v>-0.39660034176865278</v>
      </c>
    </row>
    <row r="137" spans="2:21">
      <c r="B137" s="2" t="s">
        <v>12</v>
      </c>
      <c r="C137" s="45">
        <f t="shared" si="88"/>
        <v>-1.2267959053324158</v>
      </c>
      <c r="D137">
        <f t="shared" si="88"/>
        <v>6.1879586081102597E-2</v>
      </c>
      <c r="E137">
        <f t="shared" si="88"/>
        <v>-0.86004997211711842</v>
      </c>
      <c r="F137">
        <f t="shared" si="88"/>
        <v>0.95310381152006773</v>
      </c>
      <c r="G137">
        <f t="shared" si="88"/>
        <v>-0.75811315443401162</v>
      </c>
      <c r="H137">
        <f t="shared" si="88"/>
        <v>-0.79740976702028432</v>
      </c>
      <c r="I137">
        <f t="shared" si="88"/>
        <v>0.68864588048284259</v>
      </c>
      <c r="J137" s="24">
        <f t="shared" si="88"/>
        <v>1.4303384167035533</v>
      </c>
      <c r="M137" s="45" t="s">
        <v>12</v>
      </c>
      <c r="N137" s="149">
        <f t="shared" si="89"/>
        <v>0.75715450219622726</v>
      </c>
      <c r="O137" s="9">
        <f t="shared" si="90"/>
        <v>0.61650402428955564</v>
      </c>
      <c r="P137" s="9">
        <f t="shared" si="91"/>
        <v>0.31128064426611946</v>
      </c>
      <c r="Q137" s="9">
        <f t="shared" si="92"/>
        <v>-0.45380039542052353</v>
      </c>
      <c r="R137" s="9">
        <f t="shared" si="93"/>
        <v>-0.67744331454260542</v>
      </c>
      <c r="S137" s="9">
        <f t="shared" si="94"/>
        <v>-1.132626611754926</v>
      </c>
      <c r="T137" s="9">
        <f t="shared" si="95"/>
        <v>-0.31302085476492841</v>
      </c>
      <c r="U137" s="150">
        <f t="shared" si="96"/>
        <v>-0.239105621210704</v>
      </c>
    </row>
    <row r="138" spans="2:21">
      <c r="B138" s="2" t="s">
        <v>13</v>
      </c>
      <c r="C138" s="45">
        <f t="shared" si="88"/>
        <v>-7.4389623575077321E-2</v>
      </c>
      <c r="D138">
        <f t="shared" si="88"/>
        <v>0.66692442776305594</v>
      </c>
      <c r="E138">
        <f t="shared" si="88"/>
        <v>1.3798629609666173</v>
      </c>
      <c r="F138">
        <f t="shared" si="88"/>
        <v>-1.2113641991577648</v>
      </c>
      <c r="G138">
        <f t="shared" si="88"/>
        <v>1.7570572107516216</v>
      </c>
      <c r="H138">
        <f t="shared" si="88"/>
        <v>1.9364698333711281</v>
      </c>
      <c r="I138">
        <f t="shared" si="88"/>
        <v>1.986259605690182</v>
      </c>
      <c r="J138" s="24">
        <f t="shared" si="88"/>
        <v>-0.64859189466137079</v>
      </c>
      <c r="M138" s="45" t="s">
        <v>13</v>
      </c>
      <c r="N138" s="149">
        <f t="shared" si="89"/>
        <v>1.4676032425151484</v>
      </c>
      <c r="O138" s="9">
        <f t="shared" si="90"/>
        <v>1.2719692694450093</v>
      </c>
      <c r="P138" s="9">
        <f t="shared" si="91"/>
        <v>1.1949160215376853</v>
      </c>
      <c r="Q138" s="9">
        <f t="shared" si="92"/>
        <v>-0.94080569782303558</v>
      </c>
      <c r="R138" s="9">
        <f t="shared" si="93"/>
        <v>1.438699449751607</v>
      </c>
      <c r="S138" s="9">
        <f t="shared" si="94"/>
        <v>-8.9729761469373476E-2</v>
      </c>
      <c r="T138" s="9">
        <f t="shared" si="95"/>
        <v>0.67726330394593592</v>
      </c>
      <c r="U138" s="150">
        <f t="shared" si="96"/>
        <v>-1.4675644415627045</v>
      </c>
    </row>
    <row r="139" spans="2:21">
      <c r="B139" s="2" t="s">
        <v>15</v>
      </c>
      <c r="C139" s="45">
        <f t="shared" si="88"/>
        <v>-0.56563747758340521</v>
      </c>
      <c r="D139">
        <f t="shared" si="88"/>
        <v>0.31398160344858256</v>
      </c>
      <c r="E139">
        <f t="shared" si="88"/>
        <v>0.41402894394885975</v>
      </c>
      <c r="F139">
        <f t="shared" si="88"/>
        <v>0.38493095871713712</v>
      </c>
      <c r="G139">
        <f t="shared" si="88"/>
        <v>2.039401650371544</v>
      </c>
      <c r="H139">
        <f t="shared" si="88"/>
        <v>1.5491081461222085</v>
      </c>
      <c r="I139">
        <f t="shared" si="88"/>
        <v>0.77970649277809412</v>
      </c>
      <c r="J139" s="24">
        <f t="shared" si="88"/>
        <v>-1.5935602180090636</v>
      </c>
      <c r="M139" s="45" t="s">
        <v>15</v>
      </c>
      <c r="N139" s="149">
        <f t="shared" si="89"/>
        <v>0.84210978906656853</v>
      </c>
      <c r="O139" s="9">
        <f t="shared" si="90"/>
        <v>0.86860604165703559</v>
      </c>
      <c r="P139" s="9">
        <f t="shared" si="91"/>
        <v>1.2154656814742333</v>
      </c>
      <c r="Q139" s="9">
        <f t="shared" si="92"/>
        <v>0.16848415764935365</v>
      </c>
      <c r="R139" s="9">
        <f t="shared" si="93"/>
        <v>0.45769657535789771</v>
      </c>
      <c r="S139" s="9">
        <f t="shared" si="94"/>
        <v>-1.2220177703508306</v>
      </c>
      <c r="T139" s="9">
        <f t="shared" si="95"/>
        <v>-0.71141103355665558</v>
      </c>
      <c r="U139" s="150">
        <f t="shared" si="96"/>
        <v>-1.5935602180090636</v>
      </c>
    </row>
    <row r="140" spans="2:21">
      <c r="B140" s="2" t="s">
        <v>16</v>
      </c>
      <c r="C140" s="45">
        <f t="shared" si="88"/>
        <v>-0.6663638252853501</v>
      </c>
      <c r="D140">
        <f t="shared" si="88"/>
        <v>-1.4003121146502839</v>
      </c>
      <c r="E140">
        <f t="shared" si="88"/>
        <v>-1.2299438509749829</v>
      </c>
      <c r="F140">
        <f t="shared" si="88"/>
        <v>-0.8325822972891439</v>
      </c>
      <c r="G140">
        <f t="shared" si="88"/>
        <v>-0.76387528585482645</v>
      </c>
      <c r="H140">
        <f t="shared" si="88"/>
        <v>0.74458771875906815</v>
      </c>
      <c r="I140">
        <f t="shared" si="88"/>
        <v>0.1195170536375182</v>
      </c>
      <c r="J140" s="24">
        <f t="shared" si="88"/>
        <v>1.5563341931499124</v>
      </c>
      <c r="M140" s="45" t="s">
        <v>16</v>
      </c>
      <c r="N140" s="149">
        <f t="shared" si="89"/>
        <v>1.252923700174744</v>
      </c>
      <c r="O140" s="9">
        <f t="shared" si="90"/>
        <v>0.11229998955459572</v>
      </c>
      <c r="P140" s="9">
        <f t="shared" si="91"/>
        <v>-0.86004997211711842</v>
      </c>
      <c r="Q140" s="9">
        <f t="shared" si="92"/>
        <v>-1.4278110002255482</v>
      </c>
      <c r="R140" s="9">
        <f t="shared" si="93"/>
        <v>-0.40662313776431269</v>
      </c>
      <c r="S140" s="9">
        <f t="shared" si="94"/>
        <v>-1.3710030346773381</v>
      </c>
      <c r="T140" s="9">
        <f t="shared" si="95"/>
        <v>-0.72279361009356202</v>
      </c>
      <c r="U140" s="150">
        <f t="shared" si="96"/>
        <v>1.2885931682014023E-2</v>
      </c>
    </row>
    <row r="141" spans="2:21">
      <c r="B141" s="2" t="s">
        <v>17</v>
      </c>
      <c r="C141" s="45">
        <f t="shared" si="88"/>
        <v>-1.1855060726012774</v>
      </c>
      <c r="D141">
        <f t="shared" si="88"/>
        <v>-1.2994713077032907</v>
      </c>
      <c r="E141">
        <f t="shared" si="88"/>
        <v>-0.40795745351306151</v>
      </c>
      <c r="F141">
        <f t="shared" si="88"/>
        <v>-0.34557699488663179</v>
      </c>
      <c r="G141">
        <f t="shared" si="88"/>
        <v>9.46822958465693E-2</v>
      </c>
      <c r="H141">
        <f t="shared" si="88"/>
        <v>0.50621129583665592</v>
      </c>
      <c r="I141">
        <f t="shared" si="88"/>
        <v>5.1221594416079111E-2</v>
      </c>
      <c r="J141" s="24">
        <f t="shared" si="88"/>
        <v>1.1153489755876556</v>
      </c>
      <c r="M141" s="45" t="s">
        <v>17</v>
      </c>
      <c r="N141" s="149">
        <f t="shared" si="89"/>
        <v>0.32286025562253501</v>
      </c>
      <c r="O141" s="9">
        <f t="shared" si="90"/>
        <v>-0.89610807991532415</v>
      </c>
      <c r="P141" s="9">
        <f t="shared" si="91"/>
        <v>-0.38740779357651345</v>
      </c>
      <c r="Q141" s="9">
        <f t="shared" si="92"/>
        <v>-0.23735359435274003</v>
      </c>
      <c r="R141" s="9">
        <f t="shared" si="93"/>
        <v>-0.14444615811724232</v>
      </c>
      <c r="S141" s="9">
        <f t="shared" si="94"/>
        <v>-1.2518148232161319</v>
      </c>
      <c r="T141" s="9">
        <f t="shared" si="95"/>
        <v>-0.87076710507334631</v>
      </c>
      <c r="U141" s="150">
        <f t="shared" si="96"/>
        <v>-1.0580781681120377</v>
      </c>
    </row>
    <row r="142" spans="2:21">
      <c r="B142" s="2" t="s">
        <v>18</v>
      </c>
      <c r="C142" s="45">
        <f t="shared" si="88"/>
        <v>-0.87669061614259103</v>
      </c>
      <c r="D142">
        <f t="shared" si="88"/>
        <v>-0.84568767644182385</v>
      </c>
      <c r="E142">
        <f t="shared" si="88"/>
        <v>0.20853234458337966</v>
      </c>
      <c r="F142">
        <f t="shared" si="88"/>
        <v>1.3589415635221613</v>
      </c>
      <c r="G142">
        <f t="shared" si="88"/>
        <v>1.5208098224982172</v>
      </c>
      <c r="H142">
        <f t="shared" si="88"/>
        <v>1.4895140403916056</v>
      </c>
      <c r="I142">
        <f t="shared" si="88"/>
        <v>-1.7073864805359974E-2</v>
      </c>
      <c r="J142" s="24">
        <f t="shared" si="88"/>
        <v>1.0523510873644757</v>
      </c>
      <c r="M142" s="45" t="s">
        <v>18</v>
      </c>
      <c r="N142" s="149">
        <f t="shared" si="89"/>
        <v>0.64893345211658171</v>
      </c>
      <c r="O142" s="9">
        <f t="shared" si="90"/>
        <v>-0.34148364170686391</v>
      </c>
      <c r="P142" s="9">
        <f t="shared" si="91"/>
        <v>0.2907309843295714</v>
      </c>
      <c r="Q142" s="9">
        <f t="shared" si="92"/>
        <v>0.3308192584501915</v>
      </c>
      <c r="R142" s="9">
        <f t="shared" si="93"/>
        <v>1.438699449751607</v>
      </c>
      <c r="S142" s="9">
        <f t="shared" si="94"/>
        <v>-0.53668555444889599</v>
      </c>
      <c r="T142" s="9">
        <f t="shared" si="95"/>
        <v>-0.19919508939586353</v>
      </c>
      <c r="U142" s="150">
        <f t="shared" si="96"/>
        <v>-0.20760667709911407</v>
      </c>
    </row>
    <row r="143" spans="2:21">
      <c r="B143" s="2" t="s">
        <v>19</v>
      </c>
      <c r="C143" s="45">
        <f t="shared" si="88"/>
        <v>-0.87075922591729438</v>
      </c>
      <c r="D143">
        <f t="shared" si="88"/>
        <v>6.1879586081102597E-2</v>
      </c>
      <c r="E143">
        <f t="shared" si="88"/>
        <v>-0.49015609325925369</v>
      </c>
      <c r="F143">
        <f t="shared" si="88"/>
        <v>-0.45380039542052353</v>
      </c>
      <c r="G143">
        <f t="shared" si="88"/>
        <v>-0.3691692835290169</v>
      </c>
      <c r="H143">
        <f t="shared" si="88"/>
        <v>1.1617464588732893</v>
      </c>
      <c r="I143">
        <f t="shared" si="88"/>
        <v>0.90491483468406564</v>
      </c>
      <c r="J143" s="24">
        <f t="shared" si="88"/>
        <v>-1.8613012429575623E-2</v>
      </c>
      <c r="M143" s="45" t="s">
        <v>19</v>
      </c>
      <c r="N143" s="149">
        <f t="shared" si="89"/>
        <v>0.68711198713264121</v>
      </c>
      <c r="O143" s="9">
        <f t="shared" si="90"/>
        <v>0.51566321734256937</v>
      </c>
      <c r="P143" s="9">
        <f t="shared" si="91"/>
        <v>0.66062486318743641</v>
      </c>
      <c r="Q143" s="9">
        <f t="shared" si="92"/>
        <v>-1.3195875996916564</v>
      </c>
      <c r="R143" s="9">
        <f t="shared" si="93"/>
        <v>-1.7679266859317731E-2</v>
      </c>
      <c r="S143" s="9">
        <f t="shared" si="94"/>
        <v>-0.14932386719997651</v>
      </c>
      <c r="T143" s="9">
        <f t="shared" si="95"/>
        <v>0.18781251285895689</v>
      </c>
      <c r="U143" s="150">
        <f t="shared" si="96"/>
        <v>-1.3100697210047556</v>
      </c>
    </row>
    <row r="144" spans="2:21">
      <c r="B144" s="2" t="s">
        <v>20</v>
      </c>
      <c r="C144" s="45">
        <f t="shared" si="88"/>
        <v>-1.4630093062426974</v>
      </c>
      <c r="D144">
        <f t="shared" si="88"/>
        <v>-1.2490509042297904</v>
      </c>
      <c r="E144">
        <f t="shared" si="88"/>
        <v>-1.5381887500232034</v>
      </c>
      <c r="F144">
        <f t="shared" si="88"/>
        <v>2.3329521683271865</v>
      </c>
      <c r="G144">
        <f t="shared" si="88"/>
        <v>-0.79844807437971488</v>
      </c>
      <c r="H144">
        <f t="shared" si="88"/>
        <v>0.9531670888161784</v>
      </c>
      <c r="I144">
        <f t="shared" si="88"/>
        <v>-1.5992520034353617</v>
      </c>
      <c r="J144" s="24">
        <f t="shared" si="88"/>
        <v>1.7768268019310405</v>
      </c>
      <c r="M144" s="45" t="s">
        <v>20</v>
      </c>
      <c r="N144" s="149">
        <f t="shared" si="89"/>
        <v>0.66559345515249391</v>
      </c>
      <c r="O144" s="9">
        <f t="shared" si="90"/>
        <v>-0.49274485212735047</v>
      </c>
      <c r="P144" s="9">
        <f t="shared" si="91"/>
        <v>-1.4765397702135594</v>
      </c>
      <c r="Q144" s="9">
        <f t="shared" si="92"/>
        <v>1.4671649640560536</v>
      </c>
      <c r="R144" s="9">
        <f t="shared" si="93"/>
        <v>-8.970590961950195E-2</v>
      </c>
      <c r="S144" s="9">
        <f t="shared" si="94"/>
        <v>-0.98364134742841847</v>
      </c>
      <c r="T144" s="9">
        <f t="shared" si="95"/>
        <v>-1.5992520034353617</v>
      </c>
      <c r="U144" s="150">
        <f t="shared" si="96"/>
        <v>0.4538711492442708</v>
      </c>
    </row>
    <row r="145" spans="2:21">
      <c r="B145" s="2" t="s">
        <v>21</v>
      </c>
      <c r="C145" s="45">
        <f t="shared" si="88"/>
        <v>-0.52201800321339109</v>
      </c>
      <c r="D145">
        <f t="shared" si="88"/>
        <v>-0.34148364170686391</v>
      </c>
      <c r="E145">
        <f t="shared" si="88"/>
        <v>-0.18191119421103336</v>
      </c>
      <c r="F145">
        <f t="shared" si="88"/>
        <v>-0.61613549622136088</v>
      </c>
      <c r="G145">
        <f t="shared" si="88"/>
        <v>-1.1096031711037109</v>
      </c>
      <c r="H145">
        <f t="shared" si="88"/>
        <v>0.77438477162436958</v>
      </c>
      <c r="I145">
        <f t="shared" si="88"/>
        <v>1.496808814603203</v>
      </c>
      <c r="J145" s="24">
        <f t="shared" si="88"/>
        <v>0.83185847858334772</v>
      </c>
      <c r="M145" s="45" t="s">
        <v>21</v>
      </c>
      <c r="N145" s="149">
        <f t="shared" si="89"/>
        <v>1.5270244308962253</v>
      </c>
      <c r="O145" s="9">
        <f t="shared" si="90"/>
        <v>0.41482241039557599</v>
      </c>
      <c r="P145" s="9">
        <f t="shared" si="91"/>
        <v>-0.42850711344960957</v>
      </c>
      <c r="Q145" s="9">
        <f t="shared" si="92"/>
        <v>-1.103140798623873</v>
      </c>
      <c r="R145" s="9">
        <f t="shared" si="93"/>
        <v>-0.72065930019871582</v>
      </c>
      <c r="S145" s="9">
        <f t="shared" si="94"/>
        <v>-0.41749734298769009</v>
      </c>
      <c r="T145" s="9">
        <f t="shared" si="95"/>
        <v>3.9839017879172663E-2</v>
      </c>
      <c r="U145" s="150">
        <f t="shared" si="96"/>
        <v>-0.239105621210704</v>
      </c>
    </row>
    <row r="146" spans="2:21" ht="15.75" thickBot="1">
      <c r="B146" s="3" t="s">
        <v>22</v>
      </c>
      <c r="C146" s="46">
        <f t="shared" si="88"/>
        <v>-0.39157339802604313</v>
      </c>
      <c r="D146" s="25">
        <f t="shared" si="88"/>
        <v>1.7761733041799692</v>
      </c>
      <c r="E146" s="25">
        <f t="shared" si="88"/>
        <v>1.8679173844596333</v>
      </c>
      <c r="F146" s="25">
        <f t="shared" si="88"/>
        <v>0.14142830751588034</v>
      </c>
      <c r="G146" s="25">
        <f t="shared" si="88"/>
        <v>0.20416279284204955</v>
      </c>
      <c r="H146" s="25">
        <f t="shared" si="88"/>
        <v>2.94584499918321E-2</v>
      </c>
      <c r="I146" s="25">
        <f t="shared" si="88"/>
        <v>1.4512785084555773</v>
      </c>
      <c r="J146" s="26">
        <f t="shared" si="88"/>
        <v>0.23337854046314213</v>
      </c>
      <c r="M146" s="46" t="s">
        <v>22</v>
      </c>
      <c r="N146" s="151">
        <f t="shared" si="89"/>
        <v>1.5270244308962253</v>
      </c>
      <c r="O146" s="152">
        <f t="shared" si="90"/>
        <v>2.3307977423884223</v>
      </c>
      <c r="P146" s="152">
        <f t="shared" si="91"/>
        <v>1.8319554795706741</v>
      </c>
      <c r="Q146" s="152">
        <f t="shared" si="92"/>
        <v>-0.12913019381884877</v>
      </c>
      <c r="R146" s="152">
        <f t="shared" si="93"/>
        <v>-0.50746043762857052</v>
      </c>
      <c r="S146" s="152">
        <f t="shared" si="94"/>
        <v>-1.0432354531590216</v>
      </c>
      <c r="T146" s="152">
        <f t="shared" si="95"/>
        <v>0.4837595028185257</v>
      </c>
      <c r="U146" s="153">
        <f t="shared" si="96"/>
        <v>-0.17610773298752441</v>
      </c>
    </row>
    <row r="147" spans="2:21" ht="15.75" thickTop="1">
      <c r="N147" s="19"/>
      <c r="U147" s="19"/>
    </row>
    <row r="148" spans="2:21">
      <c r="B148" s="31" t="s">
        <v>51</v>
      </c>
      <c r="C148">
        <f>AVERAGE(C136:C146)</f>
        <v>-0.8732504934114993</v>
      </c>
      <c r="D148">
        <f t="shared" ref="D148:I148" si="97">AVERAGE(D136:D146)</f>
        <v>-0.32773262257772939</v>
      </c>
      <c r="E148">
        <f t="shared" si="97"/>
        <v>-0.13007000664383248</v>
      </c>
      <c r="F148">
        <f t="shared" si="97"/>
        <v>0.28654604914087167</v>
      </c>
      <c r="G148">
        <f t="shared" si="97"/>
        <v>2.7370124248870056E-2</v>
      </c>
      <c r="H148">
        <f t="shared" si="97"/>
        <v>0.79944138426110034</v>
      </c>
      <c r="I148">
        <f t="shared" si="97"/>
        <v>0.39994234831948694</v>
      </c>
      <c r="J148">
        <f>AVERAGE(J136:J146)</f>
        <v>0.56554922382172523</v>
      </c>
      <c r="M148" s="31" t="s">
        <v>51</v>
      </c>
      <c r="N148" s="19">
        <f>AVERAGE(N136:N146)</f>
        <v>0.87325049341149874</v>
      </c>
      <c r="O148" s="19">
        <f t="shared" ref="O148:U148" si="98">AVERAGE(O136:O146)</f>
        <v>0.32773262257771768</v>
      </c>
      <c r="P148" s="19">
        <f t="shared" si="98"/>
        <v>0.13007000664383242</v>
      </c>
      <c r="Q148" s="19">
        <f t="shared" si="98"/>
        <v>-0.28654604914087262</v>
      </c>
      <c r="R148" s="19">
        <f t="shared" si="98"/>
        <v>-2.7370124248869945E-2</v>
      </c>
      <c r="S148" s="19">
        <f t="shared" si="98"/>
        <v>-0.79944138426110023</v>
      </c>
      <c r="T148" s="19">
        <f t="shared" si="98"/>
        <v>-0.39994234831948722</v>
      </c>
      <c r="U148" s="19">
        <f t="shared" si="98"/>
        <v>-0.56554922382172501</v>
      </c>
    </row>
    <row r="149" spans="2:21">
      <c r="B149" s="31" t="s">
        <v>52</v>
      </c>
      <c r="C149">
        <f>_xlfn.STDEV.P(C136:C146)</f>
        <v>0.47606249890839913</v>
      </c>
      <c r="D149">
        <f t="shared" ref="D149:J149" si="99">_xlfn.STDEV.P(D136:D146)</f>
        <v>0.97178192636198679</v>
      </c>
      <c r="E149">
        <f t="shared" si="99"/>
        <v>0.99232164056365313</v>
      </c>
      <c r="F149">
        <f t="shared" si="99"/>
        <v>1.0618279962205663</v>
      </c>
      <c r="G149">
        <f t="shared" si="99"/>
        <v>1.1701862699626717</v>
      </c>
      <c r="H149">
        <f t="shared" si="99"/>
        <v>0.72881246194836335</v>
      </c>
      <c r="I149">
        <f t="shared" si="99"/>
        <v>1.0932691007153377</v>
      </c>
      <c r="J149">
        <f t="shared" si="99"/>
        <v>0.97238174447478232</v>
      </c>
      <c r="M149" s="31" t="s">
        <v>52</v>
      </c>
      <c r="N149">
        <f t="shared" ref="N149:U149" si="100">_xlfn.STDEV.P(N136:N146)</f>
        <v>0.4982285104710974</v>
      </c>
      <c r="O149">
        <f t="shared" si="100"/>
        <v>0.91696376362037391</v>
      </c>
      <c r="P149">
        <f t="shared" si="100"/>
        <v>0.99068731111910779</v>
      </c>
      <c r="Q149">
        <f t="shared" si="100"/>
        <v>0.84160800250813805</v>
      </c>
      <c r="R149">
        <f t="shared" si="100"/>
        <v>0.79319975175743096</v>
      </c>
      <c r="S149">
        <f t="shared" si="100"/>
        <v>0.43659974985122846</v>
      </c>
      <c r="T149">
        <f t="shared" si="100"/>
        <v>0.69631523713219601</v>
      </c>
      <c r="U149">
        <f t="shared" si="100"/>
        <v>0.64403563090986427</v>
      </c>
    </row>
    <row r="150" spans="2:21">
      <c r="B150" s="31" t="s">
        <v>53</v>
      </c>
      <c r="C150">
        <f>C149/C148</f>
        <v>-0.54516144279355772</v>
      </c>
      <c r="D150">
        <f t="shared" ref="D150:J150" si="101">D149/D148</f>
        <v>-2.9651669056274863</v>
      </c>
      <c r="E150">
        <v>0</v>
      </c>
      <c r="F150">
        <f t="shared" si="101"/>
        <v>3.7056103177976496</v>
      </c>
      <c r="G150">
        <f t="shared" si="101"/>
        <v>42.754145334615409</v>
      </c>
      <c r="H150">
        <f t="shared" si="101"/>
        <v>0.91165215648922504</v>
      </c>
      <c r="I150">
        <f t="shared" si="101"/>
        <v>2.7335667385790283</v>
      </c>
      <c r="J150">
        <f t="shared" si="101"/>
        <v>1.7193582866295305</v>
      </c>
      <c r="M150" s="31" t="s">
        <v>53</v>
      </c>
      <c r="N150">
        <f t="shared" ref="N150:U150" si="102">N149/N148</f>
        <v>0.57054477979701401</v>
      </c>
      <c r="O150">
        <f t="shared" si="102"/>
        <v>2.7979020105114114</v>
      </c>
      <c r="P150">
        <v>0</v>
      </c>
      <c r="Q150">
        <f t="shared" si="102"/>
        <v>-2.9370776705226329</v>
      </c>
      <c r="R150">
        <f t="shared" si="102"/>
        <v>-28.980495102801022</v>
      </c>
      <c r="S150">
        <v>0</v>
      </c>
      <c r="T150">
        <v>0</v>
      </c>
      <c r="U150">
        <f t="shared" si="102"/>
        <v>-1.1387790908062143</v>
      </c>
    </row>
    <row r="151" spans="2:21">
      <c r="B151" s="31" t="s">
        <v>54</v>
      </c>
      <c r="C151">
        <f>MIN(C136:C146)</f>
        <v>-1.7630119736069498</v>
      </c>
      <c r="D151">
        <f t="shared" ref="D151:J151" si="103">MIN(D136:D146)</f>
        <v>-1.4003121146502839</v>
      </c>
      <c r="E151">
        <f t="shared" si="103"/>
        <v>-1.5381887500232034</v>
      </c>
      <c r="F151">
        <f t="shared" si="103"/>
        <v>-1.2113641991577648</v>
      </c>
      <c r="G151">
        <f t="shared" si="103"/>
        <v>-1.5158334362711499</v>
      </c>
      <c r="H151">
        <f t="shared" si="103"/>
        <v>-0.79740976702028432</v>
      </c>
      <c r="I151">
        <f t="shared" si="103"/>
        <v>-1.5992520034353617</v>
      </c>
      <c r="J151">
        <f t="shared" si="103"/>
        <v>-1.5935602180090636</v>
      </c>
      <c r="M151" s="31" t="s">
        <v>54</v>
      </c>
      <c r="N151">
        <f t="shared" ref="N151:U151" si="104">MIN(N136:N146)</f>
        <v>-9.2583818242907165E-2</v>
      </c>
      <c r="O151">
        <f t="shared" si="104"/>
        <v>-0.89610807991532415</v>
      </c>
      <c r="P151">
        <f t="shared" si="104"/>
        <v>-1.4765397702135594</v>
      </c>
      <c r="Q151">
        <f t="shared" si="104"/>
        <v>-1.4278110002255482</v>
      </c>
      <c r="R151">
        <f t="shared" si="104"/>
        <v>-1.0721493168684149</v>
      </c>
      <c r="S151">
        <f t="shared" si="104"/>
        <v>-1.3710030346773381</v>
      </c>
      <c r="T151">
        <f t="shared" si="104"/>
        <v>-1.5992520034353617</v>
      </c>
      <c r="U151">
        <f t="shared" si="104"/>
        <v>-1.5935602180090636</v>
      </c>
    </row>
    <row r="152" spans="2:21">
      <c r="B152" s="31" t="s">
        <v>55</v>
      </c>
      <c r="C152">
        <f>MAX(C136:C146)</f>
        <v>-7.4389623575077321E-2</v>
      </c>
      <c r="D152">
        <f t="shared" ref="D152:J152" si="105">MAX(D136:D146)</f>
        <v>1.7761733041799692</v>
      </c>
      <c r="E152">
        <f t="shared" si="105"/>
        <v>1.8679173844596333</v>
      </c>
      <c r="F152">
        <f t="shared" si="105"/>
        <v>2.3329521683271865</v>
      </c>
      <c r="G152">
        <f t="shared" si="105"/>
        <v>2.039401650371544</v>
      </c>
      <c r="H152">
        <f t="shared" si="105"/>
        <v>1.9364698333711281</v>
      </c>
      <c r="I152">
        <f t="shared" si="105"/>
        <v>1.986259605690182</v>
      </c>
      <c r="J152">
        <f t="shared" si="105"/>
        <v>1.7768268019310405</v>
      </c>
      <c r="M152" s="31" t="s">
        <v>55</v>
      </c>
      <c r="N152">
        <f t="shared" ref="N152:U152" si="106">MAX(N136:N146)</f>
        <v>1.5270244308962253</v>
      </c>
      <c r="O152">
        <f t="shared" si="106"/>
        <v>2.3307977423884223</v>
      </c>
      <c r="P152">
        <f t="shared" si="106"/>
        <v>1.8319554795706741</v>
      </c>
      <c r="Q152">
        <f t="shared" si="106"/>
        <v>1.4671649640560536</v>
      </c>
      <c r="R152">
        <f t="shared" si="106"/>
        <v>1.438699449751607</v>
      </c>
      <c r="S152">
        <f t="shared" si="106"/>
        <v>-8.9729761469373476E-2</v>
      </c>
      <c r="T152">
        <f t="shared" si="106"/>
        <v>0.67726330394593592</v>
      </c>
      <c r="U152">
        <f t="shared" si="106"/>
        <v>0.4538711492442708</v>
      </c>
    </row>
    <row r="200" spans="3:22">
      <c r="C200" s="36"/>
    </row>
    <row r="201" spans="3:22">
      <c r="C201" s="36"/>
    </row>
    <row r="202" spans="3:22">
      <c r="C202" s="36"/>
    </row>
    <row r="203" spans="3:22">
      <c r="C203" s="36"/>
    </row>
    <row r="206" spans="3:22">
      <c r="C206" s="78"/>
      <c r="D206" s="78"/>
      <c r="E206" s="78"/>
      <c r="F206" s="78"/>
      <c r="G206" s="78"/>
      <c r="H206" s="78"/>
      <c r="I206" s="78"/>
      <c r="J206" s="78"/>
      <c r="K206" s="78"/>
      <c r="N206" s="78"/>
      <c r="O206" s="78"/>
      <c r="P206" s="78"/>
      <c r="Q206" s="78"/>
      <c r="R206" s="78"/>
      <c r="S206" s="78"/>
      <c r="T206" s="78"/>
      <c r="U206" s="78"/>
      <c r="V206" s="78"/>
    </row>
    <row r="220" spans="5:15">
      <c r="E220" s="39"/>
      <c r="O220" s="39"/>
    </row>
    <row r="221" spans="5:15">
      <c r="E221" s="39"/>
      <c r="O221" s="39"/>
    </row>
  </sheetData>
  <mergeCells count="10">
    <mergeCell ref="L63:M63"/>
    <mergeCell ref="L64:M64"/>
    <mergeCell ref="AA68:AC68"/>
    <mergeCell ref="AA81:AC81"/>
    <mergeCell ref="AL94:AO94"/>
    <mergeCell ref="B32:B44"/>
    <mergeCell ref="B45:B55"/>
    <mergeCell ref="L30:O30"/>
    <mergeCell ref="P30:S30"/>
    <mergeCell ref="T30:AA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9487-4427-4116-80F4-B407CC8EC6C1}">
  <dimension ref="A1:AW92"/>
  <sheetViews>
    <sheetView topLeftCell="H1" zoomScale="85" zoomScaleNormal="85" workbookViewId="0">
      <selection activeCell="AA31" sqref="AA31"/>
    </sheetView>
  </sheetViews>
  <sheetFormatPr defaultRowHeight="15"/>
  <cols>
    <col min="2" max="2" width="21" customWidth="1"/>
  </cols>
  <sheetData>
    <row r="1" spans="1:49" ht="15.75" thickBot="1">
      <c r="A1" s="36" t="s">
        <v>107</v>
      </c>
    </row>
    <row r="2" spans="1:49" ht="15.75" thickBot="1">
      <c r="K2" s="221" t="s">
        <v>72</v>
      </c>
      <c r="L2" s="221"/>
      <c r="M2" s="221"/>
      <c r="N2" s="221"/>
      <c r="O2" s="229" t="s">
        <v>73</v>
      </c>
      <c r="P2" s="229"/>
      <c r="Q2" s="229"/>
      <c r="R2" s="229"/>
      <c r="S2" s="222" t="s">
        <v>74</v>
      </c>
      <c r="T2" s="222"/>
      <c r="U2" s="222"/>
      <c r="V2" s="222"/>
      <c r="W2" s="222"/>
      <c r="X2" s="222"/>
      <c r="Y2" s="222"/>
      <c r="Z2" s="222"/>
      <c r="AA2" s="229" t="s">
        <v>90</v>
      </c>
      <c r="AB2" s="229"/>
      <c r="AC2" s="229"/>
      <c r="AD2" s="229"/>
    </row>
    <row r="3" spans="1:49" ht="30.75" thickBot="1">
      <c r="C3" s="57" t="s">
        <v>43</v>
      </c>
      <c r="D3" s="58" t="s">
        <v>44</v>
      </c>
      <c r="E3" s="58" t="s">
        <v>45</v>
      </c>
      <c r="F3" s="58" t="s">
        <v>46</v>
      </c>
      <c r="G3" s="58" t="s">
        <v>47</v>
      </c>
      <c r="H3" s="58" t="s">
        <v>48</v>
      </c>
      <c r="I3" s="58" t="s">
        <v>49</v>
      </c>
      <c r="J3" s="58" t="s">
        <v>50</v>
      </c>
      <c r="K3" s="57" t="s">
        <v>108</v>
      </c>
      <c r="L3" s="64" t="s">
        <v>76</v>
      </c>
      <c r="M3" s="58" t="s">
        <v>77</v>
      </c>
      <c r="N3" s="63" t="s">
        <v>78</v>
      </c>
      <c r="O3" s="57" t="s">
        <v>108</v>
      </c>
      <c r="P3" s="64" t="s">
        <v>76</v>
      </c>
      <c r="Q3" s="58" t="s">
        <v>79</v>
      </c>
      <c r="R3" s="58" t="s">
        <v>80</v>
      </c>
      <c r="S3" s="57" t="s">
        <v>81</v>
      </c>
      <c r="T3" s="58" t="s">
        <v>82</v>
      </c>
      <c r="U3" s="58" t="s">
        <v>83</v>
      </c>
      <c r="V3" s="58" t="s">
        <v>84</v>
      </c>
      <c r="W3" s="58" t="s">
        <v>85</v>
      </c>
      <c r="X3" s="58" t="s">
        <v>86</v>
      </c>
      <c r="Y3" s="58" t="s">
        <v>87</v>
      </c>
      <c r="Z3" s="58" t="s">
        <v>88</v>
      </c>
      <c r="AA3" s="57" t="s">
        <v>89</v>
      </c>
      <c r="AB3" s="58" t="s">
        <v>90</v>
      </c>
      <c r="AC3" s="58" t="s">
        <v>91</v>
      </c>
      <c r="AD3" s="63" t="s">
        <v>92</v>
      </c>
      <c r="AE3" s="65"/>
      <c r="AF3" s="57" t="s">
        <v>77</v>
      </c>
      <c r="AG3" s="58" t="s">
        <v>79</v>
      </c>
      <c r="AH3" s="63" t="s">
        <v>91</v>
      </c>
      <c r="AR3" t="s">
        <v>109</v>
      </c>
    </row>
    <row r="4" spans="1:49" ht="16.5" thickTop="1">
      <c r="A4" s="230">
        <v>2015</v>
      </c>
      <c r="B4" s="135" t="s">
        <v>11</v>
      </c>
      <c r="C4" s="157">
        <f>(E66-E$80)/E$82</f>
        <v>0</v>
      </c>
      <c r="D4" s="158">
        <f t="shared" ref="D4:J14" si="0">(F66-F$80)/F$82</f>
        <v>1.3513513513514656E-2</v>
      </c>
      <c r="E4" s="158">
        <f t="shared" si="0"/>
        <v>0.27752639517345395</v>
      </c>
      <c r="F4" s="158">
        <f t="shared" si="0"/>
        <v>0.76258992805755388</v>
      </c>
      <c r="G4" s="158">
        <f t="shared" si="0"/>
        <v>0</v>
      </c>
      <c r="H4" s="158">
        <f t="shared" si="0"/>
        <v>0.54954954954954949</v>
      </c>
      <c r="I4" s="158">
        <f t="shared" si="0"/>
        <v>3.8095238095238189E-2</v>
      </c>
      <c r="J4" s="159">
        <f t="shared" si="0"/>
        <v>0.61682242990654201</v>
      </c>
      <c r="K4" s="154" cm="1">
        <f t="array" ref="K4">SQRT(SUMPRODUCT((C4:J4-C$40:J$40)^2, C$50:J$50))</f>
        <v>0.77673021936995834</v>
      </c>
      <c r="L4" s="106">
        <f>1-(K4/$K$40)</f>
        <v>0</v>
      </c>
      <c r="M4" s="106">
        <f>_xlfn.RANK.AVG(L4,$L$4:$L$19)</f>
        <v>11</v>
      </c>
      <c r="N4" s="106">
        <f>VLOOKUP(L4,$AR$5:$AS$8,2,1)</f>
        <v>4</v>
      </c>
      <c r="O4" s="126" cm="1">
        <f t="array" ref="O4">SQRT(SUMPRODUCT((C4:J4-C$40:J$40)^2, C$51:J$51))</f>
        <v>0.79003587977712342</v>
      </c>
      <c r="P4" s="106">
        <f>1-(O4/$O$40)</f>
        <v>0</v>
      </c>
      <c r="Q4" s="106">
        <f t="shared" ref="Q4:Q14" si="1">_xlfn.RANK.AVG(P4,$P$4:$P$19)</f>
        <v>11</v>
      </c>
      <c r="R4" s="106">
        <f>VLOOKUP(P4,$AT$5:$AU$8,2,1)</f>
        <v>4</v>
      </c>
      <c r="S4" s="127">
        <f>C4+C$39</f>
        <v>0</v>
      </c>
      <c r="T4" s="127">
        <f t="shared" ref="T4:Z14" si="2">D4+D$39</f>
        <v>1.3513513513514656E-2</v>
      </c>
      <c r="U4" s="127">
        <f t="shared" si="2"/>
        <v>0.27752639517345395</v>
      </c>
      <c r="V4" s="127">
        <f t="shared" si="2"/>
        <v>0.76258992805755388</v>
      </c>
      <c r="W4" s="127">
        <f t="shared" si="2"/>
        <v>0</v>
      </c>
      <c r="X4" s="127">
        <f t="shared" si="2"/>
        <v>0.54954954954954949</v>
      </c>
      <c r="Y4" s="127">
        <f t="shared" si="2"/>
        <v>3.8095238095238189E-2</v>
      </c>
      <c r="Z4" s="127">
        <f t="shared" si="2"/>
        <v>0.61682242990654201</v>
      </c>
      <c r="AA4" s="127">
        <f>SUM(S4:Z4)</f>
        <v>2.2580970542958521</v>
      </c>
      <c r="AB4" s="127">
        <f>AA4/$W$33</f>
        <v>0.28226213178698151</v>
      </c>
      <c r="AC4" s="128">
        <f>_xlfn.RANK.AVG(AB4,$AB$4:$AB$19)</f>
        <v>11</v>
      </c>
      <c r="AD4" s="128">
        <f>VLOOKUP(AB4,$AV$5:$AW$8,2,1)</f>
        <v>4</v>
      </c>
      <c r="AE4" s="127"/>
      <c r="AF4" s="106">
        <v>11</v>
      </c>
      <c r="AG4" s="106">
        <v>11</v>
      </c>
      <c r="AH4" s="107">
        <v>11</v>
      </c>
      <c r="AR4" s="71" t="s">
        <v>67</v>
      </c>
      <c r="AS4" s="70"/>
      <c r="AT4" s="72" t="s">
        <v>68</v>
      </c>
      <c r="AU4" s="32"/>
      <c r="AV4" s="71" t="s">
        <v>69</v>
      </c>
      <c r="AW4" s="70"/>
    </row>
    <row r="5" spans="1:49">
      <c r="A5" s="228"/>
      <c r="B5" t="s">
        <v>12</v>
      </c>
      <c r="C5" s="160">
        <f t="shared" ref="C5:C14" si="3">(E67-E$80)/E$82</f>
        <v>0.16298180395225978</v>
      </c>
      <c r="D5" s="69">
        <f t="shared" si="0"/>
        <v>0.39189189189189239</v>
      </c>
      <c r="E5" s="69">
        <f t="shared" si="0"/>
        <v>0.19909502262443438</v>
      </c>
      <c r="F5" s="69">
        <f t="shared" si="0"/>
        <v>0.63309352517985606</v>
      </c>
      <c r="G5" s="69">
        <f t="shared" si="0"/>
        <v>0.21312803889789303</v>
      </c>
      <c r="H5" s="69">
        <f t="shared" si="0"/>
        <v>0.17342342342342343</v>
      </c>
      <c r="I5" s="69">
        <f t="shared" si="0"/>
        <v>0.63809523809523816</v>
      </c>
      <c r="J5" s="161">
        <f t="shared" si="0"/>
        <v>0.89719626168224298</v>
      </c>
      <c r="K5" s="155" cm="1">
        <f t="array" ref="K5">SQRT(SUMPRODUCT((C5:J5-C$40:J$40)^2, C$50:J$50))</f>
        <v>0.64132714556680348</v>
      </c>
      <c r="L5" s="103">
        <f t="shared" ref="L5:L29" si="4">1-(K5/$K$40)</f>
        <v>0.17432445709784095</v>
      </c>
      <c r="M5" s="103">
        <f t="shared" ref="M5:M14" si="5">_xlfn.RANK.AVG(L5,$L$4:$L$19)</f>
        <v>7</v>
      </c>
      <c r="N5" s="103">
        <f t="shared" ref="N5:N14" si="6">VLOOKUP(L5,$AR$5:$AS$8,2,1)</f>
        <v>3</v>
      </c>
      <c r="O5" s="102" cm="1">
        <f t="array" ref="O5">SQRT(SUMPRODUCT((C5:J5-C$40:J$40)^2, C$51:J$51))</f>
        <v>0.63453955561527675</v>
      </c>
      <c r="P5" s="103">
        <f t="shared" ref="P5:P30" si="7">1-(O5/$O$40)</f>
        <v>0.19682185093380022</v>
      </c>
      <c r="Q5" s="103">
        <f>_xlfn.RANK.AVG(P5,$P$4:$P$19)</f>
        <v>7</v>
      </c>
      <c r="R5" s="103">
        <f t="shared" ref="R5:R14" si="8">VLOOKUP(P5,$AT$5:$AU$8,2,1)</f>
        <v>3</v>
      </c>
      <c r="S5" s="104">
        <f t="shared" ref="S5:S13" si="9">C5+C$39</f>
        <v>0.16298180395225978</v>
      </c>
      <c r="T5" s="104">
        <f t="shared" si="2"/>
        <v>0.39189189189189239</v>
      </c>
      <c r="U5" s="104">
        <f t="shared" si="2"/>
        <v>0.19909502262443438</v>
      </c>
      <c r="V5" s="104">
        <f t="shared" si="2"/>
        <v>0.63309352517985606</v>
      </c>
      <c r="W5" s="104">
        <f t="shared" si="2"/>
        <v>0.21312803889789303</v>
      </c>
      <c r="X5" s="104">
        <f t="shared" si="2"/>
        <v>0.17342342342342343</v>
      </c>
      <c r="Y5" s="104">
        <f t="shared" si="2"/>
        <v>0.63809523809523816</v>
      </c>
      <c r="Z5" s="104">
        <f t="shared" si="2"/>
        <v>0.89719626168224298</v>
      </c>
      <c r="AA5" s="104">
        <f t="shared" ref="AA5:AA29" si="10">SUM(S5:Z5)</f>
        <v>3.3089052057472403</v>
      </c>
      <c r="AB5" s="104">
        <f t="shared" ref="AB5:AB13" si="11">AA5/$W$33</f>
        <v>0.41361315071840504</v>
      </c>
      <c r="AC5" s="105">
        <f t="shared" ref="AC5:AC13" si="12">_xlfn.RANK.AVG(AB5,$AB$4:$AB$19)</f>
        <v>7</v>
      </c>
      <c r="AD5" s="105">
        <f t="shared" ref="AD5:AD14" si="13">VLOOKUP(AB5,$AV$5:$AW$8,2,1)</f>
        <v>3</v>
      </c>
      <c r="AE5" s="104"/>
      <c r="AF5" s="103">
        <v>7</v>
      </c>
      <c r="AG5" s="103">
        <v>7</v>
      </c>
      <c r="AH5" s="108">
        <v>7</v>
      </c>
      <c r="AJ5" s="36"/>
      <c r="AQ5" t="s">
        <v>54</v>
      </c>
      <c r="AR5" s="70">
        <v>0</v>
      </c>
      <c r="AS5" s="70">
        <v>4</v>
      </c>
      <c r="AT5" s="32">
        <v>0</v>
      </c>
      <c r="AU5" s="32">
        <v>4</v>
      </c>
      <c r="AV5" s="73">
        <f>$AB$38</f>
        <v>0.26741702502187048</v>
      </c>
      <c r="AW5" s="70">
        <v>4</v>
      </c>
    </row>
    <row r="6" spans="1:49">
      <c r="A6" s="228"/>
      <c r="B6" t="s">
        <v>13</v>
      </c>
      <c r="C6" s="160">
        <f t="shared" si="3"/>
        <v>0.5132533937073166</v>
      </c>
      <c r="D6" s="69">
        <f t="shared" si="0"/>
        <v>0.55405405405405483</v>
      </c>
      <c r="E6" s="69">
        <f t="shared" si="0"/>
        <v>0.8567119155354449</v>
      </c>
      <c r="F6" s="69">
        <f t="shared" si="0"/>
        <v>5.7553956834532426E-2</v>
      </c>
      <c r="G6" s="69">
        <f t="shared" si="0"/>
        <v>0.9205834683954619</v>
      </c>
      <c r="H6" s="69">
        <f t="shared" si="0"/>
        <v>1</v>
      </c>
      <c r="I6" s="69">
        <f t="shared" si="0"/>
        <v>1</v>
      </c>
      <c r="J6" s="161">
        <f t="shared" si="0"/>
        <v>0.28037383177570097</v>
      </c>
      <c r="K6" s="155" cm="1">
        <f t="array" ref="K6">SQRT(SUMPRODUCT((C6:J6-C$40:J$40)^2, C$50:J$50))</f>
        <v>0.48330824433741532</v>
      </c>
      <c r="L6" s="103">
        <f t="shared" si="4"/>
        <v>0.37776562275451453</v>
      </c>
      <c r="M6" s="103">
        <f t="shared" si="5"/>
        <v>2</v>
      </c>
      <c r="N6" s="103">
        <f t="shared" si="6"/>
        <v>1</v>
      </c>
      <c r="O6" s="102" cm="1">
        <f t="array" ref="O6">SQRT(SUMPRODUCT((C6:J6-C$40:J$40)^2, C$51:J$51))</f>
        <v>0.48176931186946825</v>
      </c>
      <c r="P6" s="103">
        <f t="shared" si="7"/>
        <v>0.39019312388017124</v>
      </c>
      <c r="Q6" s="103">
        <f t="shared" si="1"/>
        <v>2</v>
      </c>
      <c r="R6" s="103">
        <f t="shared" si="8"/>
        <v>1</v>
      </c>
      <c r="S6" s="104">
        <f t="shared" si="9"/>
        <v>0.5132533937073166</v>
      </c>
      <c r="T6" s="104">
        <f t="shared" si="2"/>
        <v>0.55405405405405483</v>
      </c>
      <c r="U6" s="104">
        <f t="shared" si="2"/>
        <v>0.8567119155354449</v>
      </c>
      <c r="V6" s="104">
        <f t="shared" si="2"/>
        <v>5.7553956834532426E-2</v>
      </c>
      <c r="W6" s="104">
        <f t="shared" si="2"/>
        <v>0.9205834683954619</v>
      </c>
      <c r="X6" s="104">
        <f t="shared" si="2"/>
        <v>1</v>
      </c>
      <c r="Y6" s="104">
        <f t="shared" si="2"/>
        <v>1</v>
      </c>
      <c r="Z6" s="104">
        <f t="shared" si="2"/>
        <v>0.28037383177570097</v>
      </c>
      <c r="AA6" s="104">
        <f t="shared" si="10"/>
        <v>5.1825306203025114</v>
      </c>
      <c r="AB6" s="104">
        <f t="shared" si="11"/>
        <v>0.64781632753781393</v>
      </c>
      <c r="AC6" s="105">
        <f t="shared" si="12"/>
        <v>1</v>
      </c>
      <c r="AD6" s="105">
        <f t="shared" si="13"/>
        <v>1</v>
      </c>
      <c r="AE6" s="104"/>
      <c r="AF6" s="103">
        <v>2</v>
      </c>
      <c r="AG6" s="103">
        <v>2</v>
      </c>
      <c r="AH6" s="108">
        <v>1</v>
      </c>
      <c r="AQ6" t="s">
        <v>70</v>
      </c>
      <c r="AR6" s="73">
        <f>$L$36-$L$37</f>
        <v>7.1996722069487359E-2</v>
      </c>
      <c r="AS6" s="70">
        <v>3</v>
      </c>
      <c r="AT6" s="75">
        <f>$P$36-$P$37</f>
        <v>8.4298253300291393E-2</v>
      </c>
      <c r="AU6" s="32">
        <v>3</v>
      </c>
      <c r="AV6" s="73">
        <f>$AB$36-$AB$37</f>
        <v>0.32723649640513075</v>
      </c>
      <c r="AW6" s="70">
        <v>3</v>
      </c>
    </row>
    <row r="7" spans="1:49" ht="15.75" thickBot="1">
      <c r="A7" s="228"/>
      <c r="B7" t="s">
        <v>15</v>
      </c>
      <c r="C7" s="160">
        <f t="shared" si="3"/>
        <v>0.36393958874882387</v>
      </c>
      <c r="D7" s="69">
        <f t="shared" si="0"/>
        <v>0.45945945945945987</v>
      </c>
      <c r="E7" s="69">
        <f t="shared" si="0"/>
        <v>0.57315233785822017</v>
      </c>
      <c r="F7" s="69">
        <f t="shared" si="0"/>
        <v>0.48201438848920869</v>
      </c>
      <c r="G7" s="69">
        <f t="shared" si="0"/>
        <v>1</v>
      </c>
      <c r="H7" s="69">
        <f t="shared" si="0"/>
        <v>0.88288288288288286</v>
      </c>
      <c r="I7" s="69">
        <f t="shared" si="0"/>
        <v>0.66349206349206347</v>
      </c>
      <c r="J7" s="161">
        <f t="shared" si="0"/>
        <v>0</v>
      </c>
      <c r="K7" s="155" cm="1">
        <f t="array" ref="K7">SQRT(SUMPRODUCT((C7:J7-C$40:J$40)^2, C$50:J$50))</f>
        <v>0.5331766772833888</v>
      </c>
      <c r="L7" s="103">
        <f t="shared" si="4"/>
        <v>0.31356259356579053</v>
      </c>
      <c r="M7" s="103">
        <f t="shared" si="5"/>
        <v>4</v>
      </c>
      <c r="N7" s="103">
        <f t="shared" si="6"/>
        <v>2</v>
      </c>
      <c r="O7" s="102" cm="1">
        <f t="array" ref="O7">SQRT(SUMPRODUCT((C7:J7-C$40:J$40)^2, C$51:J$51))</f>
        <v>0.535160925253511</v>
      </c>
      <c r="P7" s="103">
        <f t="shared" si="7"/>
        <v>0.32261187250826517</v>
      </c>
      <c r="Q7" s="103">
        <f t="shared" si="1"/>
        <v>4</v>
      </c>
      <c r="R7" s="103">
        <f t="shared" si="8"/>
        <v>2</v>
      </c>
      <c r="S7" s="104">
        <f t="shared" si="9"/>
        <v>0.36393958874882387</v>
      </c>
      <c r="T7" s="104">
        <f t="shared" si="2"/>
        <v>0.45945945945945987</v>
      </c>
      <c r="U7" s="104">
        <f t="shared" si="2"/>
        <v>0.57315233785822017</v>
      </c>
      <c r="V7" s="104">
        <f t="shared" si="2"/>
        <v>0.48201438848920869</v>
      </c>
      <c r="W7" s="104">
        <f t="shared" si="2"/>
        <v>1</v>
      </c>
      <c r="X7" s="104">
        <f t="shared" si="2"/>
        <v>0.88288288288288286</v>
      </c>
      <c r="Y7" s="104">
        <f t="shared" si="2"/>
        <v>0.66349206349206347</v>
      </c>
      <c r="Z7" s="104">
        <f t="shared" si="2"/>
        <v>0</v>
      </c>
      <c r="AA7" s="104">
        <f t="shared" si="10"/>
        <v>4.4249407209306595</v>
      </c>
      <c r="AB7" s="104">
        <f t="shared" si="11"/>
        <v>0.55311759011633244</v>
      </c>
      <c r="AC7" s="105">
        <f t="shared" si="12"/>
        <v>4</v>
      </c>
      <c r="AD7" s="105">
        <f t="shared" si="13"/>
        <v>1</v>
      </c>
      <c r="AE7" s="104"/>
      <c r="AF7" s="103">
        <v>4</v>
      </c>
      <c r="AG7" s="103">
        <v>4</v>
      </c>
      <c r="AH7" s="108">
        <v>4</v>
      </c>
      <c r="AQ7" t="s">
        <v>51</v>
      </c>
      <c r="AR7" s="74">
        <f>$L$36</f>
        <v>0.1942951305250534</v>
      </c>
      <c r="AS7" s="70">
        <v>2</v>
      </c>
      <c r="AT7" s="32">
        <f>$P$36</f>
        <v>0.20600651244328141</v>
      </c>
      <c r="AU7" s="32">
        <v>2</v>
      </c>
      <c r="AV7" s="73">
        <f>$AB$36</f>
        <v>0.43776947256219417</v>
      </c>
      <c r="AW7" s="70">
        <v>2</v>
      </c>
    </row>
    <row r="8" spans="1:49">
      <c r="A8" s="228"/>
      <c r="B8" t="s">
        <v>16</v>
      </c>
      <c r="C8" s="160">
        <f t="shared" si="3"/>
        <v>0.33332401636060421</v>
      </c>
      <c r="D8" s="69">
        <f t="shared" si="0"/>
        <v>0</v>
      </c>
      <c r="E8" s="69">
        <f t="shared" si="0"/>
        <v>9.0497737556561098E-2</v>
      </c>
      <c r="F8" s="69">
        <f t="shared" si="0"/>
        <v>0.1582733812949641</v>
      </c>
      <c r="G8" s="69">
        <f t="shared" si="0"/>
        <v>0.21150729335494323</v>
      </c>
      <c r="H8" s="69">
        <f t="shared" si="0"/>
        <v>0.63963963963963966</v>
      </c>
      <c r="I8" s="69">
        <f t="shared" si="0"/>
        <v>0.47936507936507938</v>
      </c>
      <c r="J8" s="161">
        <f t="shared" si="0"/>
        <v>0.93457943925233655</v>
      </c>
      <c r="K8" s="155" cm="1">
        <f t="array" ref="K8">SQRT(SUMPRODUCT((C8:J8-C$40:J$40)^2, C$50:J$50))</f>
        <v>0.70773192676433527</v>
      </c>
      <c r="L8" s="103">
        <f t="shared" si="4"/>
        <v>8.8831734474797086E-2</v>
      </c>
      <c r="M8" s="103">
        <f t="shared" si="5"/>
        <v>9</v>
      </c>
      <c r="N8" s="103">
        <f t="shared" si="6"/>
        <v>3</v>
      </c>
      <c r="O8" s="102" cm="1">
        <f t="array" ref="O8">SQRT(SUMPRODUCT((C8:J8-C$40:J$40)^2, C$51:J$51))</f>
        <v>0.71160206199330323</v>
      </c>
      <c r="P8" s="103">
        <f t="shared" si="7"/>
        <v>9.9278804661311226E-2</v>
      </c>
      <c r="Q8" s="103">
        <f t="shared" si="1"/>
        <v>9</v>
      </c>
      <c r="R8" s="103">
        <f t="shared" si="8"/>
        <v>3</v>
      </c>
      <c r="S8" s="104">
        <f t="shared" si="9"/>
        <v>0.33332401636060421</v>
      </c>
      <c r="T8" s="104">
        <f t="shared" si="2"/>
        <v>0</v>
      </c>
      <c r="U8" s="104">
        <f t="shared" si="2"/>
        <v>9.0497737556561098E-2</v>
      </c>
      <c r="V8" s="104">
        <f t="shared" si="2"/>
        <v>0.1582733812949641</v>
      </c>
      <c r="W8" s="104">
        <f t="shared" si="2"/>
        <v>0.21150729335494323</v>
      </c>
      <c r="X8" s="104">
        <f t="shared" si="2"/>
        <v>0.63963963963963966</v>
      </c>
      <c r="Y8" s="104">
        <f t="shared" si="2"/>
        <v>0.47936507936507938</v>
      </c>
      <c r="Z8" s="104">
        <f t="shared" si="2"/>
        <v>0.93457943925233655</v>
      </c>
      <c r="AA8" s="104">
        <f t="shared" si="10"/>
        <v>2.8471865868241282</v>
      </c>
      <c r="AB8" s="104">
        <f>AA8/$W$33</f>
        <v>0.35589832335301602</v>
      </c>
      <c r="AC8" s="105">
        <f t="shared" si="12"/>
        <v>10</v>
      </c>
      <c r="AD8" s="105">
        <f t="shared" si="13"/>
        <v>3</v>
      </c>
      <c r="AE8" s="104"/>
      <c r="AF8" s="103">
        <v>9</v>
      </c>
      <c r="AG8" s="103">
        <v>9</v>
      </c>
      <c r="AH8" s="108">
        <v>10</v>
      </c>
      <c r="AJ8" s="38"/>
      <c r="AK8" s="38" t="s">
        <v>77</v>
      </c>
      <c r="AL8" s="38" t="s">
        <v>79</v>
      </c>
      <c r="AM8" s="38" t="s">
        <v>91</v>
      </c>
      <c r="AQ8" t="s">
        <v>71</v>
      </c>
      <c r="AR8" s="73">
        <f>$L$36+$L$37</f>
        <v>0.31659353898061943</v>
      </c>
      <c r="AS8" s="70">
        <v>1</v>
      </c>
      <c r="AT8" s="32">
        <f>$P$36+$P$37</f>
        <v>0.32771477158627144</v>
      </c>
      <c r="AU8" s="32">
        <v>1</v>
      </c>
      <c r="AV8" s="73">
        <f>$AB$36+$AB$37</f>
        <v>0.5483024487192576</v>
      </c>
      <c r="AW8" s="70">
        <v>1</v>
      </c>
    </row>
    <row r="9" spans="1:49">
      <c r="A9" s="228"/>
      <c r="B9" t="s">
        <v>17</v>
      </c>
      <c r="C9" s="160">
        <f t="shared" si="3"/>
        <v>0.17553176621852029</v>
      </c>
      <c r="D9" s="69">
        <f t="shared" si="0"/>
        <v>2.7027027027027389E-2</v>
      </c>
      <c r="E9" s="69">
        <f t="shared" si="0"/>
        <v>0.33182503770739069</v>
      </c>
      <c r="F9" s="69">
        <f t="shared" si="0"/>
        <v>0.28776978417266186</v>
      </c>
      <c r="G9" s="69">
        <f t="shared" si="0"/>
        <v>0.45299837925445696</v>
      </c>
      <c r="H9" s="69">
        <f t="shared" si="0"/>
        <v>0.56756756756756754</v>
      </c>
      <c r="I9" s="69">
        <f t="shared" si="0"/>
        <v>0.46031746031746029</v>
      </c>
      <c r="J9" s="161">
        <f>(L71-L$80)/L$82</f>
        <v>0.80373831775700932</v>
      </c>
      <c r="K9" s="155" cm="1">
        <f t="array" ref="K9">SQRT(SUMPRODUCT((C9:J9-C$40:J$40)^2, C$50:J$50))</f>
        <v>0.65154992215634655</v>
      </c>
      <c r="L9" s="103">
        <f t="shared" si="4"/>
        <v>0.16116316076275661</v>
      </c>
      <c r="M9" s="103">
        <f t="shared" si="5"/>
        <v>8</v>
      </c>
      <c r="N9" s="103">
        <f t="shared" si="6"/>
        <v>3</v>
      </c>
      <c r="O9" s="102" cm="1">
        <f t="array" ref="O9">SQRT(SUMPRODUCT((C9:J9-C$40:J$40)^2, C$51:J$51))</f>
        <v>0.66292502144394161</v>
      </c>
      <c r="P9" s="103">
        <f t="shared" si="7"/>
        <v>0.16089251334893928</v>
      </c>
      <c r="Q9" s="103">
        <f t="shared" si="1"/>
        <v>8</v>
      </c>
      <c r="R9" s="103">
        <f t="shared" si="8"/>
        <v>3</v>
      </c>
      <c r="S9" s="104">
        <f t="shared" si="9"/>
        <v>0.17553176621852029</v>
      </c>
      <c r="T9" s="104">
        <f t="shared" si="2"/>
        <v>2.7027027027027389E-2</v>
      </c>
      <c r="U9" s="104">
        <f t="shared" si="2"/>
        <v>0.33182503770739069</v>
      </c>
      <c r="V9" s="104">
        <f t="shared" si="2"/>
        <v>0.28776978417266186</v>
      </c>
      <c r="W9" s="104">
        <f t="shared" si="2"/>
        <v>0.45299837925445696</v>
      </c>
      <c r="X9" s="104">
        <f t="shared" si="2"/>
        <v>0.56756756756756754</v>
      </c>
      <c r="Y9" s="104">
        <f t="shared" si="2"/>
        <v>0.46031746031746029</v>
      </c>
      <c r="Z9" s="104">
        <f t="shared" si="2"/>
        <v>0.80373831775700932</v>
      </c>
      <c r="AA9" s="104">
        <f t="shared" si="10"/>
        <v>3.1067753400220943</v>
      </c>
      <c r="AB9" s="104">
        <f t="shared" si="11"/>
        <v>0.38834691750276179</v>
      </c>
      <c r="AC9" s="105">
        <f t="shared" si="12"/>
        <v>8</v>
      </c>
      <c r="AD9" s="105">
        <f t="shared" si="13"/>
        <v>3</v>
      </c>
      <c r="AE9" s="104"/>
      <c r="AF9" s="103">
        <v>8</v>
      </c>
      <c r="AG9" s="103">
        <v>8</v>
      </c>
      <c r="AH9" s="108">
        <v>8</v>
      </c>
      <c r="AJ9" t="s">
        <v>77</v>
      </c>
      <c r="AK9">
        <v>1</v>
      </c>
    </row>
    <row r="10" spans="1:49">
      <c r="A10" s="228"/>
      <c r="B10" t="s">
        <v>18</v>
      </c>
      <c r="C10" s="160">
        <f t="shared" si="3"/>
        <v>0.26939560797905554</v>
      </c>
      <c r="D10" s="69">
        <f t="shared" si="0"/>
        <v>0.14864864864864968</v>
      </c>
      <c r="E10" s="69">
        <f t="shared" si="0"/>
        <v>0.51282051282051289</v>
      </c>
      <c r="F10" s="69">
        <f t="shared" si="0"/>
        <v>0.74100719424460426</v>
      </c>
      <c r="G10" s="69">
        <f t="shared" si="0"/>
        <v>0.85413290113452189</v>
      </c>
      <c r="H10" s="69">
        <f t="shared" si="0"/>
        <v>0.86486486486486491</v>
      </c>
      <c r="I10" s="69">
        <f t="shared" si="0"/>
        <v>0.4412698412698412</v>
      </c>
      <c r="J10" s="161">
        <f t="shared" si="0"/>
        <v>0.78504672897196248</v>
      </c>
      <c r="K10" s="155" cm="1">
        <f t="array" ref="K10">SQRT(SUMPRODUCT((C10:J10-C$40:J$40)^2, C$50:J$50))</f>
        <v>0.49509166342320998</v>
      </c>
      <c r="L10" s="103">
        <f t="shared" si="4"/>
        <v>0.36259507989170081</v>
      </c>
      <c r="M10" s="103">
        <f t="shared" si="5"/>
        <v>3</v>
      </c>
      <c r="N10" s="103">
        <f t="shared" si="6"/>
        <v>1</v>
      </c>
      <c r="O10" s="102" cm="1">
        <f t="array" ref="O10">SQRT(SUMPRODUCT((C10:J10-C$40:J$40)^2, C$51:J$51))</f>
        <v>0.51246612497975719</v>
      </c>
      <c r="P10" s="103">
        <f t="shared" si="7"/>
        <v>0.351338163116935</v>
      </c>
      <c r="Q10" s="103">
        <f t="shared" si="1"/>
        <v>3</v>
      </c>
      <c r="R10" s="103">
        <f t="shared" si="8"/>
        <v>1</v>
      </c>
      <c r="S10" s="104">
        <f t="shared" si="9"/>
        <v>0.26939560797905554</v>
      </c>
      <c r="T10" s="104">
        <f t="shared" si="2"/>
        <v>0.14864864864864968</v>
      </c>
      <c r="U10" s="104">
        <f t="shared" si="2"/>
        <v>0.51282051282051289</v>
      </c>
      <c r="V10" s="104">
        <f t="shared" si="2"/>
        <v>0.74100719424460426</v>
      </c>
      <c r="W10" s="104">
        <f t="shared" si="2"/>
        <v>0.85413290113452189</v>
      </c>
      <c r="X10" s="104">
        <f t="shared" si="2"/>
        <v>0.86486486486486491</v>
      </c>
      <c r="Y10" s="104">
        <f t="shared" si="2"/>
        <v>0.4412698412698412</v>
      </c>
      <c r="Z10" s="104">
        <f t="shared" si="2"/>
        <v>0.78504672897196248</v>
      </c>
      <c r="AA10" s="104">
        <f t="shared" si="10"/>
        <v>4.617186299934013</v>
      </c>
      <c r="AB10" s="104">
        <f t="shared" si="11"/>
        <v>0.57714828749175162</v>
      </c>
      <c r="AC10" s="105">
        <f t="shared" si="12"/>
        <v>3</v>
      </c>
      <c r="AD10" s="105">
        <f t="shared" si="13"/>
        <v>1</v>
      </c>
      <c r="AE10" s="104"/>
      <c r="AF10" s="103">
        <v>3</v>
      </c>
      <c r="AG10" s="103">
        <v>3</v>
      </c>
      <c r="AH10" s="108">
        <v>3</v>
      </c>
      <c r="AJ10" t="s">
        <v>79</v>
      </c>
      <c r="AK10">
        <v>0.99999999999999978</v>
      </c>
      <c r="AL10">
        <v>1</v>
      </c>
    </row>
    <row r="11" spans="1:49" ht="15.75" thickBot="1">
      <c r="A11" s="228"/>
      <c r="B11" t="s">
        <v>19</v>
      </c>
      <c r="C11" s="160">
        <f t="shared" si="3"/>
        <v>0.27119844220215966</v>
      </c>
      <c r="D11" s="69">
        <f t="shared" si="0"/>
        <v>0.39189189189189239</v>
      </c>
      <c r="E11" s="69">
        <f t="shared" si="0"/>
        <v>0.30769230769230771</v>
      </c>
      <c r="F11" s="69">
        <f t="shared" si="0"/>
        <v>0.25899280575539563</v>
      </c>
      <c r="G11" s="69">
        <f t="shared" si="0"/>
        <v>0.32252836304700155</v>
      </c>
      <c r="H11" s="69">
        <f t="shared" si="0"/>
        <v>0.76576576576576583</v>
      </c>
      <c r="I11" s="69">
        <f t="shared" si="0"/>
        <v>0.69841269841269837</v>
      </c>
      <c r="J11" s="161">
        <f t="shared" si="0"/>
        <v>0.46728971962616828</v>
      </c>
      <c r="K11" s="155" cm="1">
        <f t="array" ref="K11">SQRT(SUMPRODUCT((C11:J11-C$40:J$40)^2, C$50:J$50))</f>
        <v>0.59349572694373653</v>
      </c>
      <c r="L11" s="103">
        <f t="shared" si="4"/>
        <v>0.23590493566073911</v>
      </c>
      <c r="M11" s="103">
        <f t="shared" si="5"/>
        <v>5</v>
      </c>
      <c r="N11" s="103">
        <f t="shared" si="6"/>
        <v>2</v>
      </c>
      <c r="O11" s="102" cm="1">
        <f t="array" ref="O11">SQRT(SUMPRODUCT((C11:J11-C$40:J$40)^2, C$51:J$51))</f>
        <v>0.58849822706483557</v>
      </c>
      <c r="P11" s="103">
        <f t="shared" si="7"/>
        <v>0.25509936684033074</v>
      </c>
      <c r="Q11" s="103">
        <f t="shared" si="1"/>
        <v>5</v>
      </c>
      <c r="R11" s="103">
        <f t="shared" si="8"/>
        <v>2</v>
      </c>
      <c r="S11" s="104">
        <f t="shared" si="9"/>
        <v>0.27119844220215966</v>
      </c>
      <c r="T11" s="104">
        <f t="shared" si="2"/>
        <v>0.39189189189189239</v>
      </c>
      <c r="U11" s="104">
        <f t="shared" si="2"/>
        <v>0.30769230769230771</v>
      </c>
      <c r="V11" s="104">
        <f t="shared" si="2"/>
        <v>0.25899280575539563</v>
      </c>
      <c r="W11" s="104">
        <f t="shared" si="2"/>
        <v>0.32252836304700155</v>
      </c>
      <c r="X11" s="104">
        <f t="shared" si="2"/>
        <v>0.76576576576576583</v>
      </c>
      <c r="Y11" s="104">
        <f t="shared" si="2"/>
        <v>0.69841269841269837</v>
      </c>
      <c r="Z11" s="104">
        <f t="shared" si="2"/>
        <v>0.46728971962616828</v>
      </c>
      <c r="AA11" s="104">
        <f t="shared" si="10"/>
        <v>3.4837719943933898</v>
      </c>
      <c r="AB11" s="104">
        <f t="shared" si="11"/>
        <v>0.43547149929917373</v>
      </c>
      <c r="AC11" s="105">
        <f t="shared" si="12"/>
        <v>6</v>
      </c>
      <c r="AD11" s="105">
        <f t="shared" si="13"/>
        <v>3</v>
      </c>
      <c r="AE11" s="104"/>
      <c r="AF11" s="103">
        <v>5</v>
      </c>
      <c r="AG11" s="103">
        <v>5</v>
      </c>
      <c r="AH11" s="108">
        <v>6</v>
      </c>
      <c r="AJ11" s="37" t="s">
        <v>91</v>
      </c>
      <c r="AK11" s="37">
        <v>0.97272727272727244</v>
      </c>
      <c r="AL11" s="37">
        <v>0.97272727272727244</v>
      </c>
      <c r="AM11" s="37">
        <v>1</v>
      </c>
    </row>
    <row r="12" spans="1:49">
      <c r="A12" s="228"/>
      <c r="B12" t="s">
        <v>20</v>
      </c>
      <c r="C12" s="160">
        <f t="shared" si="3"/>
        <v>9.1185212100884178E-2</v>
      </c>
      <c r="D12" s="69">
        <f t="shared" si="0"/>
        <v>4.0540540540542049E-2</v>
      </c>
      <c r="E12" s="69">
        <f t="shared" si="0"/>
        <v>0</v>
      </c>
      <c r="F12" s="69">
        <f t="shared" si="0"/>
        <v>1</v>
      </c>
      <c r="G12" s="69">
        <f t="shared" si="0"/>
        <v>0.20178282009724469</v>
      </c>
      <c r="H12" s="69">
        <f t="shared" si="0"/>
        <v>0.70270270270270263</v>
      </c>
      <c r="I12" s="69">
        <f t="shared" si="0"/>
        <v>0</v>
      </c>
      <c r="J12" s="161">
        <f t="shared" si="0"/>
        <v>1</v>
      </c>
      <c r="K12" s="155" cm="1">
        <f t="array" ref="K12">SQRT(SUMPRODUCT((C12:J12-C$40:J$40)^2, C$50:J$50))</f>
        <v>0.74766663045124393</v>
      </c>
      <c r="L12" s="103">
        <f t="shared" si="4"/>
        <v>3.7417868127094689E-2</v>
      </c>
      <c r="M12" s="103">
        <f t="shared" si="5"/>
        <v>10</v>
      </c>
      <c r="N12" s="103">
        <f>VLOOKUP(L12,$AR$5:$AS$8,2,1)</f>
        <v>4</v>
      </c>
      <c r="O12" s="102" cm="1">
        <f t="array" ref="O12">SQRT(SUMPRODUCT((C12:J12-C$40:J$40)^2, C$51:J$51))</f>
        <v>0.75262731367635127</v>
      </c>
      <c r="P12" s="103">
        <f t="shared" si="7"/>
        <v>4.735046478056848E-2</v>
      </c>
      <c r="Q12" s="103">
        <f t="shared" si="1"/>
        <v>10</v>
      </c>
      <c r="R12" s="103">
        <f t="shared" si="8"/>
        <v>4</v>
      </c>
      <c r="S12" s="104">
        <f t="shared" si="9"/>
        <v>9.1185212100884178E-2</v>
      </c>
      <c r="T12" s="104">
        <f t="shared" si="2"/>
        <v>4.0540540540542049E-2</v>
      </c>
      <c r="U12" s="104">
        <f t="shared" si="2"/>
        <v>0</v>
      </c>
      <c r="V12" s="104">
        <f t="shared" si="2"/>
        <v>1</v>
      </c>
      <c r="W12" s="104">
        <f t="shared" si="2"/>
        <v>0.20178282009724469</v>
      </c>
      <c r="X12" s="104">
        <f t="shared" si="2"/>
        <v>0.70270270270270263</v>
      </c>
      <c r="Y12" s="104">
        <f t="shared" si="2"/>
        <v>0</v>
      </c>
      <c r="Z12" s="104">
        <f t="shared" si="2"/>
        <v>1</v>
      </c>
      <c r="AA12" s="104">
        <f t="shared" si="10"/>
        <v>3.0362112754413735</v>
      </c>
      <c r="AB12" s="104">
        <f t="shared" si="11"/>
        <v>0.37952640943017169</v>
      </c>
      <c r="AC12" s="105">
        <f t="shared" si="12"/>
        <v>9</v>
      </c>
      <c r="AD12" s="105">
        <f t="shared" si="13"/>
        <v>3</v>
      </c>
      <c r="AE12" s="104"/>
      <c r="AF12" s="103">
        <v>10</v>
      </c>
      <c r="AG12" s="103">
        <v>10</v>
      </c>
      <c r="AH12" s="108">
        <v>9</v>
      </c>
    </row>
    <row r="13" spans="1:49">
      <c r="A13" s="228"/>
      <c r="B13" t="s">
        <v>21</v>
      </c>
      <c r="C13" s="160">
        <f t="shared" si="3"/>
        <v>0.37719764094250502</v>
      </c>
      <c r="D13" s="69">
        <f t="shared" si="0"/>
        <v>0.28378378378378472</v>
      </c>
      <c r="E13" s="69">
        <f t="shared" si="0"/>
        <v>0.39819004524886875</v>
      </c>
      <c r="F13" s="69">
        <f t="shared" si="0"/>
        <v>0.21582733812949639</v>
      </c>
      <c r="G13" s="69">
        <f t="shared" si="0"/>
        <v>0.11426256077795782</v>
      </c>
      <c r="H13" s="69">
        <f t="shared" si="0"/>
        <v>0.64864864864864857</v>
      </c>
      <c r="I13" s="69">
        <f t="shared" si="0"/>
        <v>0.86349206349206342</v>
      </c>
      <c r="J13" s="161">
        <f t="shared" si="0"/>
        <v>0.71962616822429903</v>
      </c>
      <c r="K13" s="155" cm="1">
        <f t="array" ref="K13">SQRT(SUMPRODUCT((C13:J13-C$40:J$40)^2, C$50:J$50))</f>
        <v>0.60033042127768776</v>
      </c>
      <c r="L13" s="103">
        <f t="shared" si="4"/>
        <v>0.22710562006375468</v>
      </c>
      <c r="M13" s="103">
        <f t="shared" si="5"/>
        <v>6</v>
      </c>
      <c r="N13" s="103">
        <f t="shared" si="6"/>
        <v>2</v>
      </c>
      <c r="O13" s="102" cm="1">
        <f t="array" ref="O13">SQRT(SUMPRODUCT((C13:J13-C$40:J$40)^2, C$51:J$51))</f>
        <v>0.60156009360557172</v>
      </c>
      <c r="P13" s="103">
        <f t="shared" si="7"/>
        <v>0.23856610945913304</v>
      </c>
      <c r="Q13" s="103">
        <f t="shared" si="1"/>
        <v>6</v>
      </c>
      <c r="R13" s="103">
        <f t="shared" si="8"/>
        <v>2</v>
      </c>
      <c r="S13" s="104">
        <f t="shared" si="9"/>
        <v>0.37719764094250502</v>
      </c>
      <c r="T13" s="104">
        <f t="shared" si="2"/>
        <v>0.28378378378378472</v>
      </c>
      <c r="U13" s="104">
        <f t="shared" si="2"/>
        <v>0.39819004524886875</v>
      </c>
      <c r="V13" s="104">
        <f t="shared" si="2"/>
        <v>0.21582733812949639</v>
      </c>
      <c r="W13" s="104">
        <f t="shared" si="2"/>
        <v>0.11426256077795782</v>
      </c>
      <c r="X13" s="104">
        <f t="shared" si="2"/>
        <v>0.64864864864864857</v>
      </c>
      <c r="Y13" s="104">
        <f t="shared" si="2"/>
        <v>0.86349206349206342</v>
      </c>
      <c r="Z13" s="104">
        <f t="shared" si="2"/>
        <v>0.71962616822429903</v>
      </c>
      <c r="AA13" s="104">
        <f t="shared" si="10"/>
        <v>3.6210282492476242</v>
      </c>
      <c r="AB13" s="104">
        <f t="shared" si="11"/>
        <v>0.45262853115595303</v>
      </c>
      <c r="AC13" s="105">
        <f t="shared" si="12"/>
        <v>5</v>
      </c>
      <c r="AD13" s="105">
        <f t="shared" si="13"/>
        <v>2</v>
      </c>
      <c r="AE13" s="104"/>
      <c r="AF13" s="103">
        <v>6</v>
      </c>
      <c r="AG13" s="103">
        <v>6</v>
      </c>
      <c r="AH13" s="108">
        <v>5</v>
      </c>
    </row>
    <row r="14" spans="1:49" ht="15.75" thickBot="1">
      <c r="A14" s="228"/>
      <c r="B14" t="s">
        <v>22</v>
      </c>
      <c r="C14" s="162">
        <f t="shared" si="3"/>
        <v>0.41684601839170415</v>
      </c>
      <c r="D14" s="163">
        <f t="shared" si="0"/>
        <v>0.8513513513513522</v>
      </c>
      <c r="E14" s="163">
        <f t="shared" si="0"/>
        <v>1</v>
      </c>
      <c r="F14" s="163">
        <f t="shared" si="0"/>
        <v>0.41726618705035962</v>
      </c>
      <c r="G14" s="163">
        <f t="shared" si="0"/>
        <v>0.48379254457050241</v>
      </c>
      <c r="H14" s="163">
        <f t="shared" si="0"/>
        <v>0.42342342342342337</v>
      </c>
      <c r="I14" s="163">
        <f t="shared" si="0"/>
        <v>0.85079365079365077</v>
      </c>
      <c r="J14" s="164">
        <f t="shared" si="0"/>
        <v>0.54205607476635509</v>
      </c>
      <c r="K14" s="156" cm="1">
        <f t="array" ref="K14">SQRT(SUMPRODUCT((C14:J14-C$40:J$40)^2, C$50:J$50))</f>
        <v>0.43769703316979874</v>
      </c>
      <c r="L14" s="109">
        <f t="shared" si="4"/>
        <v>0.43648769900463646</v>
      </c>
      <c r="M14" s="109">
        <f t="shared" si="5"/>
        <v>1</v>
      </c>
      <c r="N14" s="109">
        <f t="shared" si="6"/>
        <v>1</v>
      </c>
      <c r="O14" s="129" cm="1">
        <f t="array" ref="O14">SQRT(SUMPRODUCT((C14:J14-C$40:J$40)^2, C$51:J$51))</f>
        <v>0.43395960891408841</v>
      </c>
      <c r="P14" s="109">
        <f t="shared" si="7"/>
        <v>0.45070898674056104</v>
      </c>
      <c r="Q14" s="109">
        <f t="shared" si="1"/>
        <v>1</v>
      </c>
      <c r="R14" s="109">
        <f t="shared" si="8"/>
        <v>1</v>
      </c>
      <c r="S14" s="130">
        <f>C14+C$39</f>
        <v>0.41684601839170415</v>
      </c>
      <c r="T14" s="130">
        <f t="shared" si="2"/>
        <v>0.8513513513513522</v>
      </c>
      <c r="U14" s="130">
        <f t="shared" si="2"/>
        <v>1</v>
      </c>
      <c r="V14" s="130">
        <f t="shared" si="2"/>
        <v>0.41726618705035962</v>
      </c>
      <c r="W14" s="130">
        <f t="shared" si="2"/>
        <v>0.48379254457050241</v>
      </c>
      <c r="X14" s="130">
        <f t="shared" si="2"/>
        <v>0.42342342342342337</v>
      </c>
      <c r="Y14" s="130">
        <f t="shared" si="2"/>
        <v>0.85079365079365077</v>
      </c>
      <c r="Z14" s="130">
        <f t="shared" si="2"/>
        <v>0.54205607476635509</v>
      </c>
      <c r="AA14" s="130">
        <f t="shared" si="10"/>
        <v>4.9855292503473478</v>
      </c>
      <c r="AB14" s="130">
        <f>AA14/$W$33</f>
        <v>0.62319115629341848</v>
      </c>
      <c r="AC14" s="131">
        <f>_xlfn.RANK.AVG(AB14,$AB$4:$AB$19)</f>
        <v>2</v>
      </c>
      <c r="AD14" s="131">
        <f t="shared" si="13"/>
        <v>1</v>
      </c>
      <c r="AE14" s="130"/>
      <c r="AF14" s="109">
        <v>1</v>
      </c>
      <c r="AG14" s="109">
        <v>1</v>
      </c>
      <c r="AH14" s="110">
        <v>2</v>
      </c>
    </row>
    <row r="15" spans="1:49">
      <c r="A15" s="40"/>
      <c r="C15" s="69"/>
      <c r="D15" s="69"/>
      <c r="E15" s="69"/>
      <c r="F15" s="69"/>
      <c r="G15" s="69"/>
      <c r="H15" s="69"/>
      <c r="I15" s="69"/>
      <c r="J15" s="69"/>
      <c r="K15" s="69"/>
      <c r="O15" s="6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66"/>
      <c r="AD15" s="66"/>
      <c r="AE15" s="19"/>
    </row>
    <row r="16" spans="1:49">
      <c r="A16" s="40"/>
      <c r="B16" s="36"/>
      <c r="C16" s="69"/>
      <c r="D16" s="69"/>
      <c r="E16" s="69"/>
      <c r="F16" s="69"/>
      <c r="G16" s="69"/>
      <c r="H16" s="69"/>
      <c r="I16" s="69"/>
      <c r="J16" s="69"/>
      <c r="K16" s="69"/>
      <c r="O16" s="6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66"/>
      <c r="AD16" s="66"/>
      <c r="AE16" s="19"/>
      <c r="AJ16" s="20" t="s">
        <v>93</v>
      </c>
    </row>
    <row r="17" spans="1:39">
      <c r="A17" s="40"/>
      <c r="B17" s="36"/>
      <c r="C17" s="69"/>
      <c r="D17" s="69"/>
      <c r="E17" s="69"/>
      <c r="F17" s="69"/>
      <c r="G17" s="69"/>
      <c r="H17" s="69"/>
      <c r="I17" s="69"/>
      <c r="J17" s="69"/>
      <c r="K17" s="69"/>
      <c r="O17" s="6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66"/>
      <c r="AD17" s="66"/>
      <c r="AE17" s="19"/>
      <c r="AJ17" s="20" t="s">
        <v>94</v>
      </c>
    </row>
    <row r="18" spans="1:39">
      <c r="A18" s="40"/>
      <c r="B18" s="36"/>
      <c r="C18" s="69"/>
      <c r="D18" s="69"/>
      <c r="E18" s="69"/>
      <c r="F18" s="69"/>
      <c r="G18" s="69"/>
      <c r="H18" s="69"/>
      <c r="I18" s="69"/>
      <c r="J18" s="69"/>
      <c r="K18" s="69"/>
      <c r="O18" s="6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66"/>
      <c r="AD18" s="66"/>
      <c r="AE18" s="19"/>
    </row>
    <row r="19" spans="1:39" ht="15.75" thickBot="1">
      <c r="A19" s="40"/>
      <c r="B19" s="36"/>
      <c r="C19" s="69"/>
      <c r="D19" s="69"/>
      <c r="E19" s="69"/>
      <c r="F19" s="69"/>
      <c r="G19" s="69"/>
      <c r="H19" s="69"/>
      <c r="I19" s="69"/>
      <c r="J19" s="69"/>
      <c r="K19" s="69"/>
      <c r="O19" s="6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66"/>
      <c r="AD19" s="66"/>
      <c r="AE19" s="19"/>
    </row>
    <row r="20" spans="1:39" ht="16.5" thickTop="1">
      <c r="A20" s="228">
        <v>2023</v>
      </c>
      <c r="B20" s="101" t="s">
        <v>11</v>
      </c>
      <c r="C20" s="157">
        <f>(E54-E$80)/E$82</f>
        <v>0.50772330454388759</v>
      </c>
      <c r="D20" s="158">
        <f t="shared" ref="D20:J20" si="14">(F54-F$80)/F$82</f>
        <v>0.16216216216216242</v>
      </c>
      <c r="E20" s="158">
        <f t="shared" si="14"/>
        <v>0.1809954751131222</v>
      </c>
      <c r="F20" s="158">
        <f t="shared" si="14"/>
        <v>0.51079136690647475</v>
      </c>
      <c r="G20" s="158">
        <f t="shared" si="14"/>
        <v>0.12479740680713131</v>
      </c>
      <c r="H20" s="158">
        <f t="shared" si="14"/>
        <v>0.23423423423423428</v>
      </c>
      <c r="I20" s="158">
        <f t="shared" si="14"/>
        <v>6.3492063492063489E-2</v>
      </c>
      <c r="J20" s="159">
        <f t="shared" si="14"/>
        <v>0.35514018691588783</v>
      </c>
      <c r="K20" s="154" cm="1">
        <f t="array" ref="K20">SQRT(SUMPRODUCT((C20:J20-C$40:J$40)^2, C$50:J$50))</f>
        <v>0.7499725133883216</v>
      </c>
      <c r="L20" s="106">
        <f>1-(K20/$K$40)</f>
        <v>3.4449163061199273E-2</v>
      </c>
      <c r="M20" s="106">
        <f>_xlfn.RANK.AVG(L20,$L$20:$L$35)</f>
        <v>11</v>
      </c>
      <c r="N20" s="106">
        <f>VLOOKUP(L20,$AR$5:$AS$8,2,1)</f>
        <v>4</v>
      </c>
      <c r="O20" s="126" cm="1">
        <f t="array" ref="O20">SQRT(SUMPRODUCT((C20:J20-C$40:J$40)^2, C$51:J$51))</f>
        <v>0.75469607495048163</v>
      </c>
      <c r="P20" s="106">
        <f t="shared" si="7"/>
        <v>4.4731898552014426E-2</v>
      </c>
      <c r="Q20" s="106">
        <f t="shared" ref="Q20:Q30" si="15">_xlfn.RANK.AVG(P20,$P$20:$P$35)</f>
        <v>11</v>
      </c>
      <c r="R20" s="106">
        <f>VLOOKUP(P20,$AT$5:$AU$8,2,1)</f>
        <v>4</v>
      </c>
      <c r="S20" s="127">
        <f>C20+C$39</f>
        <v>0.50772330454388759</v>
      </c>
      <c r="T20" s="127">
        <f>D20+D$39</f>
        <v>0.16216216216216242</v>
      </c>
      <c r="U20" s="127">
        <f>E20+E$39</f>
        <v>0.1809954751131222</v>
      </c>
      <c r="V20" s="127">
        <f>F20+F$39</f>
        <v>0.51079136690647475</v>
      </c>
      <c r="W20" s="127">
        <f t="shared" ref="W20:Y30" si="16">G20+G$39</f>
        <v>0.12479740680713131</v>
      </c>
      <c r="X20" s="127">
        <f t="shared" si="16"/>
        <v>0.23423423423423428</v>
      </c>
      <c r="Y20" s="127">
        <f t="shared" si="16"/>
        <v>6.3492063492063489E-2</v>
      </c>
      <c r="Z20" s="127">
        <f>J20+J$39</f>
        <v>0.35514018691588783</v>
      </c>
      <c r="AA20" s="127">
        <f t="shared" si="10"/>
        <v>2.1393362001749638</v>
      </c>
      <c r="AB20" s="127">
        <f>AA20/$W$33</f>
        <v>0.26741702502187048</v>
      </c>
      <c r="AC20" s="128">
        <f>_xlfn.RANK.AVG(AB20,$AB$20:$AB$35)</f>
        <v>11</v>
      </c>
      <c r="AD20" s="128">
        <f>VLOOKUP(AB20,$AV$5:$AW$8,2,1)</f>
        <v>4</v>
      </c>
      <c r="AE20" s="127"/>
      <c r="AF20" s="106">
        <v>11</v>
      </c>
      <c r="AG20" s="106">
        <v>11</v>
      </c>
      <c r="AH20" s="107">
        <v>11</v>
      </c>
      <c r="AJ20" s="38"/>
      <c r="AK20" s="38" t="s">
        <v>77</v>
      </c>
      <c r="AL20" s="38" t="s">
        <v>79</v>
      </c>
      <c r="AM20" s="38" t="s">
        <v>91</v>
      </c>
    </row>
    <row r="21" spans="1:39">
      <c r="A21" s="228"/>
      <c r="B21" t="s">
        <v>12</v>
      </c>
      <c r="C21" s="160">
        <f t="shared" ref="C21:C30" si="17">(E55-E$80)/E$82</f>
        <v>0.76599957141925445</v>
      </c>
      <c r="D21" s="69">
        <f t="shared" ref="D21" si="18">(F55-F$80)/F$82</f>
        <v>0.54054054054054013</v>
      </c>
      <c r="E21" s="69">
        <f t="shared" ref="E21" si="19">(G55-G$80)/G$82</f>
        <v>0.54298642533936647</v>
      </c>
      <c r="F21" s="69">
        <f t="shared" ref="F21" si="20">(H55-H$80)/H$82</f>
        <v>0.25899280575539563</v>
      </c>
      <c r="G21" s="69">
        <f t="shared" ref="G21" si="21">(I55-I$80)/I$82</f>
        <v>0.23581847649918958</v>
      </c>
      <c r="H21" s="69">
        <f t="shared" ref="H21" si="22">(J55-J$80)/J$82</f>
        <v>7.2072072072072141E-2</v>
      </c>
      <c r="I21" s="69">
        <f t="shared" ref="I21" si="23">(K55-K$80)/K$82</f>
        <v>0.35873015873015873</v>
      </c>
      <c r="J21" s="161">
        <f t="shared" ref="J21" si="24">(L55-L$80)/L$82</f>
        <v>0.40186915887850466</v>
      </c>
      <c r="K21" s="155" cm="1">
        <f t="array" ref="K21">SQRT(SUMPRODUCT((C21:J21-C$40:J$40)^2, C$50:J$50))</f>
        <v>0.63618230656792618</v>
      </c>
      <c r="L21" s="103">
        <f t="shared" si="4"/>
        <v>0.18094817131749685</v>
      </c>
      <c r="M21" s="103">
        <f t="shared" ref="M21:M29" si="25">_xlfn.RANK.AVG(L21,$L$20:$L$35)</f>
        <v>5</v>
      </c>
      <c r="N21" s="103">
        <f t="shared" ref="N21:N29" si="26">VLOOKUP(L21,$AR$5:$AS$8,2,1)</f>
        <v>3</v>
      </c>
      <c r="O21" s="102" cm="1">
        <f t="array" ref="O21">SQRT(SUMPRODUCT((C21:J21-C$40:J$40)^2, C$51:J$51))</f>
        <v>0.63456623802875356</v>
      </c>
      <c r="P21" s="103">
        <f t="shared" si="7"/>
        <v>0.19678807726078129</v>
      </c>
      <c r="Q21" s="103">
        <f t="shared" si="15"/>
        <v>5</v>
      </c>
      <c r="R21" s="103">
        <f t="shared" ref="R21:R29" si="27">VLOOKUP(P21,$AT$5:$AU$8,2,1)</f>
        <v>3</v>
      </c>
      <c r="S21" s="104">
        <f t="shared" ref="S21:S30" si="28">C21+C$39</f>
        <v>0.76599957141925445</v>
      </c>
      <c r="T21" s="104">
        <f t="shared" ref="T21:T30" si="29">D21+D$39</f>
        <v>0.54054054054054013</v>
      </c>
      <c r="U21" s="104">
        <f t="shared" ref="U21:U30" si="30">E21+E$39</f>
        <v>0.54298642533936647</v>
      </c>
      <c r="V21" s="104">
        <f t="shared" ref="V21:V30" si="31">F21+F$39</f>
        <v>0.25899280575539563</v>
      </c>
      <c r="W21" s="104">
        <f t="shared" si="16"/>
        <v>0.23581847649918958</v>
      </c>
      <c r="X21" s="104">
        <f t="shared" si="16"/>
        <v>7.2072072072072141E-2</v>
      </c>
      <c r="Y21" s="104">
        <f t="shared" si="16"/>
        <v>0.35873015873015873</v>
      </c>
      <c r="Z21" s="104">
        <f t="shared" ref="Z21:Z30" si="32">J21+J$39</f>
        <v>0.40186915887850466</v>
      </c>
      <c r="AA21" s="104">
        <f t="shared" si="10"/>
        <v>3.1770092092344817</v>
      </c>
      <c r="AB21" s="104">
        <f t="shared" ref="AB21:AB29" si="33">AA21/$W$33</f>
        <v>0.39712615115431021</v>
      </c>
      <c r="AC21" s="105">
        <f t="shared" ref="AC21:AC29" si="34">_xlfn.RANK.AVG(AB21,$AB$20:$AB$35)</f>
        <v>7</v>
      </c>
      <c r="AD21" s="105">
        <f t="shared" ref="AD21:AD29" si="35">VLOOKUP(AB21,$AV$5:$AW$8,2,1)</f>
        <v>3</v>
      </c>
      <c r="AE21" s="104"/>
      <c r="AF21" s="103">
        <v>5</v>
      </c>
      <c r="AG21" s="103">
        <v>5</v>
      </c>
      <c r="AH21" s="108">
        <v>7</v>
      </c>
      <c r="AJ21" t="s">
        <v>77</v>
      </c>
      <c r="AK21">
        <v>1</v>
      </c>
    </row>
    <row r="22" spans="1:39">
      <c r="A22" s="228"/>
      <c r="B22" t="s">
        <v>13</v>
      </c>
      <c r="C22" s="160">
        <f t="shared" si="17"/>
        <v>0.9819390483644056</v>
      </c>
      <c r="D22" s="69">
        <f t="shared" ref="D22" si="36">(F56-F$80)/F$82</f>
        <v>0.71621621621621723</v>
      </c>
      <c r="E22" s="69">
        <f t="shared" ref="E22" si="37">(G56-G$80)/G$82</f>
        <v>0.80241327300150833</v>
      </c>
      <c r="F22" s="69">
        <f t="shared" ref="F22" si="38">(H56-H$80)/H$82</f>
        <v>0.1294964028776979</v>
      </c>
      <c r="G22" s="69">
        <f t="shared" ref="G22" si="39">(I56-I$80)/I$82</f>
        <v>0.83103727714748776</v>
      </c>
      <c r="H22" s="69">
        <f t="shared" ref="H22" si="40">(J56-J$80)/J$82</f>
        <v>0.38738738738738748</v>
      </c>
      <c r="I22" s="69">
        <f t="shared" ref="I22" si="41">(K56-K$80)/K$82</f>
        <v>0.63492063492063489</v>
      </c>
      <c r="J22" s="161">
        <f t="shared" ref="J22" si="42">(L56-L$80)/L$82</f>
        <v>3.7383177570093497E-2</v>
      </c>
      <c r="K22" s="155" cm="1">
        <f t="array" ref="K22">SQRT(SUMPRODUCT((C22:J22-C$40:J$40)^2, C$50:J$50))</f>
        <v>0.54099828623562385</v>
      </c>
      <c r="L22" s="103">
        <f t="shared" si="4"/>
        <v>0.3034926764218695</v>
      </c>
      <c r="M22" s="103">
        <f t="shared" si="25"/>
        <v>2</v>
      </c>
      <c r="N22" s="103">
        <f t="shared" si="26"/>
        <v>2</v>
      </c>
      <c r="O22" s="102" cm="1">
        <f t="array" ref="O22">SQRT(SUMPRODUCT((C22:J22-C$40:J$40)^2, C$51:J$51))</f>
        <v>0.53705384395048728</v>
      </c>
      <c r="P22" s="103">
        <f t="shared" si="7"/>
        <v>0.32021588171160631</v>
      </c>
      <c r="Q22" s="103">
        <f t="shared" si="15"/>
        <v>2</v>
      </c>
      <c r="R22" s="103">
        <f t="shared" si="27"/>
        <v>2</v>
      </c>
      <c r="S22" s="104">
        <f t="shared" si="28"/>
        <v>0.9819390483644056</v>
      </c>
      <c r="T22" s="104">
        <f t="shared" si="29"/>
        <v>0.71621621621621723</v>
      </c>
      <c r="U22" s="104">
        <f t="shared" si="30"/>
        <v>0.80241327300150833</v>
      </c>
      <c r="V22" s="104">
        <f t="shared" si="31"/>
        <v>0.1294964028776979</v>
      </c>
      <c r="W22" s="104">
        <f t="shared" si="16"/>
        <v>0.83103727714748776</v>
      </c>
      <c r="X22" s="104">
        <f t="shared" si="16"/>
        <v>0.38738738738738748</v>
      </c>
      <c r="Y22" s="104">
        <f t="shared" si="16"/>
        <v>0.63492063492063489</v>
      </c>
      <c r="Z22" s="104">
        <f t="shared" si="32"/>
        <v>3.7383177570093497E-2</v>
      </c>
      <c r="AA22" s="104">
        <f t="shared" si="10"/>
        <v>4.5207934174854332</v>
      </c>
      <c r="AB22" s="104">
        <f t="shared" si="33"/>
        <v>0.56509917718567915</v>
      </c>
      <c r="AC22" s="105">
        <f t="shared" si="34"/>
        <v>2</v>
      </c>
      <c r="AD22" s="105">
        <f t="shared" si="35"/>
        <v>1</v>
      </c>
      <c r="AE22" s="104"/>
      <c r="AF22" s="103">
        <v>2</v>
      </c>
      <c r="AG22" s="103">
        <v>2</v>
      </c>
      <c r="AH22" s="108">
        <v>2</v>
      </c>
      <c r="AJ22" t="s">
        <v>79</v>
      </c>
      <c r="AK22">
        <v>0.99090909090909063</v>
      </c>
      <c r="AL22">
        <v>1</v>
      </c>
    </row>
    <row r="23" spans="1:39" ht="15.75" thickBot="1">
      <c r="A23" s="228"/>
      <c r="B23" t="s">
        <v>15</v>
      </c>
      <c r="C23" s="160">
        <f t="shared" si="17"/>
        <v>0.79182156133829018</v>
      </c>
      <c r="D23" s="69">
        <f t="shared" ref="D23" si="43">(F57-F$80)/F$82</f>
        <v>0.60810810810810767</v>
      </c>
      <c r="E23" s="69">
        <f t="shared" ref="E23" si="44">(G57-G$80)/G$82</f>
        <v>0.80844645550527905</v>
      </c>
      <c r="F23" s="69">
        <f t="shared" ref="F23" si="45">(H57-H$80)/H$82</f>
        <v>0.42446043165467628</v>
      </c>
      <c r="G23" s="69">
        <f t="shared" ref="G23" si="46">(I57-I$80)/I$82</f>
        <v>0.55510534846029158</v>
      </c>
      <c r="H23" s="69">
        <f t="shared" ref="H23" si="47">(J57-J$80)/J$82</f>
        <v>4.504504504504505E-2</v>
      </c>
      <c r="I23" s="69">
        <f t="shared" ref="I23" si="48">(K57-K$80)/K$82</f>
        <v>0.2476190476190476</v>
      </c>
      <c r="J23" s="161">
        <f t="shared" ref="J23" si="49">(L57-L$80)/L$82</f>
        <v>0</v>
      </c>
      <c r="K23" s="155" cm="1">
        <f t="array" ref="K23">SQRT(SUMPRODUCT((C23:J23-C$40:J$40)^2, C$50:J$50))</f>
        <v>0.63647499821881981</v>
      </c>
      <c r="L23" s="103">
        <f t="shared" si="4"/>
        <v>0.18057134594931301</v>
      </c>
      <c r="M23" s="103">
        <f t="shared" si="25"/>
        <v>6</v>
      </c>
      <c r="N23" s="103">
        <f t="shared" si="26"/>
        <v>3</v>
      </c>
      <c r="O23" s="102" cm="1">
        <f t="array" ref="O23">SQRT(SUMPRODUCT((C23:J23-C$40:J$40)^2, C$51:J$51))</f>
        <v>0.63892788351223828</v>
      </c>
      <c r="P23" s="103">
        <f t="shared" si="7"/>
        <v>0.19126725777000675</v>
      </c>
      <c r="Q23" s="103">
        <f t="shared" si="15"/>
        <v>7</v>
      </c>
      <c r="R23" s="103">
        <f t="shared" si="27"/>
        <v>3</v>
      </c>
      <c r="S23" s="104">
        <f t="shared" si="28"/>
        <v>0.79182156133829018</v>
      </c>
      <c r="T23" s="104">
        <f t="shared" si="29"/>
        <v>0.60810810810810767</v>
      </c>
      <c r="U23" s="104">
        <f t="shared" si="30"/>
        <v>0.80844645550527905</v>
      </c>
      <c r="V23" s="104">
        <f t="shared" si="31"/>
        <v>0.42446043165467628</v>
      </c>
      <c r="W23" s="104">
        <f t="shared" si="16"/>
        <v>0.55510534846029158</v>
      </c>
      <c r="X23" s="104">
        <f t="shared" si="16"/>
        <v>4.504504504504505E-2</v>
      </c>
      <c r="Y23" s="104">
        <f t="shared" si="16"/>
        <v>0.2476190476190476</v>
      </c>
      <c r="Z23" s="104">
        <f t="shared" si="32"/>
        <v>0</v>
      </c>
      <c r="AA23" s="104">
        <f t="shared" si="10"/>
        <v>3.4806059977307373</v>
      </c>
      <c r="AB23" s="104">
        <f t="shared" si="33"/>
        <v>0.43507574971634216</v>
      </c>
      <c r="AC23" s="105">
        <f t="shared" si="34"/>
        <v>4</v>
      </c>
      <c r="AD23" s="105">
        <f t="shared" si="35"/>
        <v>3</v>
      </c>
      <c r="AE23" s="104"/>
      <c r="AF23" s="103">
        <v>6</v>
      </c>
      <c r="AG23" s="103">
        <v>7</v>
      </c>
      <c r="AH23" s="108">
        <v>4</v>
      </c>
      <c r="AJ23" s="37" t="s">
        <v>91</v>
      </c>
      <c r="AK23" s="37">
        <v>0.95454545454545436</v>
      </c>
      <c r="AL23" s="37">
        <v>0.93636363636363618</v>
      </c>
      <c r="AM23" s="37">
        <v>1</v>
      </c>
    </row>
    <row r="24" spans="1:39">
      <c r="A24" s="228"/>
      <c r="B24" t="s">
        <v>16</v>
      </c>
      <c r="C24" s="160">
        <f t="shared" si="17"/>
        <v>0.91668762985530772</v>
      </c>
      <c r="D24" s="69">
        <f t="shared" ref="D24" si="50">(F58-F$80)/F$82</f>
        <v>0.40540540540540509</v>
      </c>
      <c r="E24" s="69">
        <f t="shared" ref="E24" si="51">(G58-G$80)/G$82</f>
        <v>0.19909502262443438</v>
      </c>
      <c r="F24" s="69">
        <f t="shared" ref="F24" si="52">(H58-H$80)/H$82</f>
        <v>0</v>
      </c>
      <c r="G24" s="69">
        <f t="shared" ref="G24" si="53">(I58-I$80)/I$82</f>
        <v>0.31199351701782818</v>
      </c>
      <c r="H24" s="69">
        <f t="shared" ref="H24" si="54">(J58-J$80)/J$82</f>
        <v>0</v>
      </c>
      <c r="I24" s="69">
        <f t="shared" ref="I24" si="55">(K58-K$80)/K$82</f>
        <v>0.24444444444444444</v>
      </c>
      <c r="J24" s="161">
        <f t="shared" ref="J24" si="56">(L58-L$80)/L$82</f>
        <v>0.47663551401869159</v>
      </c>
      <c r="K24" s="155" cm="1">
        <f t="array" ref="K24">SQRT(SUMPRODUCT((C24:J24-C$40:J$40)^2, C$50:J$50))</f>
        <v>0.73485202329006627</v>
      </c>
      <c r="L24" s="103">
        <f t="shared" si="4"/>
        <v>5.3916012323894646E-2</v>
      </c>
      <c r="M24" s="103">
        <f t="shared" si="25"/>
        <v>9</v>
      </c>
      <c r="N24" s="103">
        <f t="shared" si="26"/>
        <v>4</v>
      </c>
      <c r="O24" s="102" cm="1">
        <f t="array" ref="O24">SQRT(SUMPRODUCT((C24:J24-C$40:J$40)^2, C$51:J$51))</f>
        <v>0.72673101082968217</v>
      </c>
      <c r="P24" s="103">
        <f t="shared" si="7"/>
        <v>8.0129106244263393E-2</v>
      </c>
      <c r="Q24" s="103">
        <f t="shared" si="15"/>
        <v>9</v>
      </c>
      <c r="R24" s="103">
        <f t="shared" si="27"/>
        <v>4</v>
      </c>
      <c r="S24" s="104">
        <f t="shared" si="28"/>
        <v>0.91668762985530772</v>
      </c>
      <c r="T24" s="104">
        <f t="shared" si="29"/>
        <v>0.40540540540540509</v>
      </c>
      <c r="U24" s="104">
        <f t="shared" si="30"/>
        <v>0.19909502262443438</v>
      </c>
      <c r="V24" s="104">
        <f t="shared" si="31"/>
        <v>0</v>
      </c>
      <c r="W24" s="104">
        <f t="shared" si="16"/>
        <v>0.31199351701782818</v>
      </c>
      <c r="X24" s="104">
        <f t="shared" si="16"/>
        <v>0</v>
      </c>
      <c r="Y24" s="104">
        <f t="shared" si="16"/>
        <v>0.24444444444444444</v>
      </c>
      <c r="Z24" s="104">
        <f t="shared" si="32"/>
        <v>0.47663551401869159</v>
      </c>
      <c r="AA24" s="104">
        <f t="shared" si="10"/>
        <v>2.5542615333661112</v>
      </c>
      <c r="AB24" s="104">
        <f t="shared" si="33"/>
        <v>0.3192826916707639</v>
      </c>
      <c r="AC24" s="105">
        <f t="shared" si="34"/>
        <v>9</v>
      </c>
      <c r="AD24" s="105">
        <f t="shared" si="35"/>
        <v>4</v>
      </c>
      <c r="AE24" s="104"/>
      <c r="AF24" s="103">
        <v>9</v>
      </c>
      <c r="AG24" s="103">
        <v>9</v>
      </c>
      <c r="AH24" s="108">
        <v>9</v>
      </c>
    </row>
    <row r="25" spans="1:39">
      <c r="A25" s="228"/>
      <c r="B25" t="s">
        <v>17</v>
      </c>
      <c r="C25" s="160">
        <f t="shared" si="17"/>
        <v>0.6339967017916539</v>
      </c>
      <c r="D25" s="69">
        <f t="shared" ref="D25" si="57">(F59-F$80)/F$82</f>
        <v>0.13513513513513503</v>
      </c>
      <c r="E25" s="69">
        <f t="shared" ref="E25" si="58">(G59-G$80)/G$82</f>
        <v>0.33785822021116141</v>
      </c>
      <c r="F25" s="69">
        <f t="shared" ref="F25" si="59">(H59-H$80)/H$82</f>
        <v>0.31654676258992809</v>
      </c>
      <c r="G25" s="69">
        <f t="shared" ref="G25" si="60">(I59-I$80)/I$82</f>
        <v>0.38573743922204207</v>
      </c>
      <c r="H25" s="69">
        <f t="shared" ref="H25" si="61">(J59-J$80)/J$82</f>
        <v>3.603603603603607E-2</v>
      </c>
      <c r="I25" s="69">
        <f t="shared" ref="I25" si="62">(K59-K$80)/K$82</f>
        <v>0.20317460317460317</v>
      </c>
      <c r="J25" s="161">
        <f t="shared" ref="J25" si="63">(L59-L$80)/L$82</f>
        <v>0.15887850467289721</v>
      </c>
      <c r="K25" s="155" cm="1">
        <f t="array" ref="K25">SQRT(SUMPRODUCT((C25:J25-C$40:J$40)^2, C$50:J$50))</f>
        <v>0.74468540449702769</v>
      </c>
      <c r="L25" s="103">
        <f t="shared" si="4"/>
        <v>4.1256042411899063E-2</v>
      </c>
      <c r="M25" s="103">
        <f t="shared" si="25"/>
        <v>10</v>
      </c>
      <c r="N25" s="103">
        <f t="shared" si="26"/>
        <v>4</v>
      </c>
      <c r="O25" s="102" cm="1">
        <f t="array" ref="O25">SQRT(SUMPRODUCT((C25:J25-C$40:J$40)^2, C$51:J$51))</f>
        <v>0.75201786294897421</v>
      </c>
      <c r="P25" s="103">
        <f t="shared" si="7"/>
        <v>4.8121886361508603E-2</v>
      </c>
      <c r="Q25" s="103">
        <f t="shared" si="15"/>
        <v>10</v>
      </c>
      <c r="R25" s="103">
        <f t="shared" si="27"/>
        <v>4</v>
      </c>
      <c r="S25" s="104">
        <f t="shared" si="28"/>
        <v>0.6339967017916539</v>
      </c>
      <c r="T25" s="104">
        <f t="shared" si="29"/>
        <v>0.13513513513513503</v>
      </c>
      <c r="U25" s="104">
        <f t="shared" si="30"/>
        <v>0.33785822021116141</v>
      </c>
      <c r="V25" s="104">
        <f t="shared" si="31"/>
        <v>0.31654676258992809</v>
      </c>
      <c r="W25" s="104">
        <f t="shared" si="16"/>
        <v>0.38573743922204207</v>
      </c>
      <c r="X25" s="104">
        <f t="shared" si="16"/>
        <v>3.603603603603607E-2</v>
      </c>
      <c r="Y25" s="104">
        <f t="shared" si="16"/>
        <v>0.20317460317460317</v>
      </c>
      <c r="Z25" s="104">
        <f t="shared" si="32"/>
        <v>0.15887850467289721</v>
      </c>
      <c r="AA25" s="104">
        <f t="shared" si="10"/>
        <v>2.2073634028334572</v>
      </c>
      <c r="AB25" s="104">
        <f t="shared" si="33"/>
        <v>0.27592042535418215</v>
      </c>
      <c r="AC25" s="105">
        <f t="shared" si="34"/>
        <v>10</v>
      </c>
      <c r="AD25" s="105">
        <f t="shared" si="35"/>
        <v>4</v>
      </c>
      <c r="AE25" s="104"/>
      <c r="AF25" s="103">
        <v>10</v>
      </c>
      <c r="AG25" s="103">
        <v>10</v>
      </c>
      <c r="AH25" s="108">
        <v>10</v>
      </c>
    </row>
    <row r="26" spans="1:39">
      <c r="A26" s="228"/>
      <c r="B26" t="s">
        <v>18</v>
      </c>
      <c r="C26" s="160">
        <f t="shared" si="17"/>
        <v>0.73310599919874042</v>
      </c>
      <c r="D26" s="69">
        <f t="shared" ref="D26" si="64">(F60-F$80)/F$82</f>
        <v>0.28378378378378472</v>
      </c>
      <c r="E26" s="69">
        <f t="shared" ref="E26" si="65">(G60-G$80)/G$82</f>
        <v>0.53695324283559576</v>
      </c>
      <c r="F26" s="69">
        <f t="shared" ref="F26" si="66">(H60-H$80)/H$82</f>
        <v>0.46762589928057563</v>
      </c>
      <c r="G26" s="69">
        <f t="shared" ref="G26" si="67">(I60-I$80)/I$82</f>
        <v>0.83103727714748776</v>
      </c>
      <c r="H26" s="69">
        <f t="shared" ref="H26" si="68">(J60-J$80)/J$82</f>
        <v>0.25225225225225234</v>
      </c>
      <c r="I26" s="69">
        <f t="shared" ref="I26" si="69">(K60-K$80)/K$82</f>
        <v>0.39047619047619048</v>
      </c>
      <c r="J26" s="161">
        <f t="shared" ref="J26" si="70">(L60-L$80)/L$82</f>
        <v>0.41121495327102808</v>
      </c>
      <c r="K26" s="155" cm="1">
        <f t="array" ref="K26">SQRT(SUMPRODUCT((C26:J26-C$40:J$40)^2, C$50:J$50))</f>
        <v>0.54633949610975419</v>
      </c>
      <c r="L26" s="103">
        <f t="shared" si="4"/>
        <v>0.29661614485282251</v>
      </c>
      <c r="M26" s="103">
        <f t="shared" si="25"/>
        <v>3</v>
      </c>
      <c r="N26" s="103">
        <f t="shared" si="26"/>
        <v>2</v>
      </c>
      <c r="O26" s="102" cm="1">
        <f t="array" ref="O26">SQRT(SUMPRODUCT((C26:J26-C$40:J$40)^2, C$51:J$51))</f>
        <v>0.55531190342432424</v>
      </c>
      <c r="P26" s="103">
        <f t="shared" si="7"/>
        <v>0.2971054636392173</v>
      </c>
      <c r="Q26" s="103">
        <f t="shared" si="15"/>
        <v>3</v>
      </c>
      <c r="R26" s="103">
        <f t="shared" si="27"/>
        <v>2</v>
      </c>
      <c r="S26" s="104">
        <f t="shared" si="28"/>
        <v>0.73310599919874042</v>
      </c>
      <c r="T26" s="104">
        <f t="shared" si="29"/>
        <v>0.28378378378378472</v>
      </c>
      <c r="U26" s="104">
        <f t="shared" si="30"/>
        <v>0.53695324283559576</v>
      </c>
      <c r="V26" s="104">
        <f t="shared" si="31"/>
        <v>0.46762589928057563</v>
      </c>
      <c r="W26" s="104">
        <f t="shared" si="16"/>
        <v>0.83103727714748776</v>
      </c>
      <c r="X26" s="104">
        <f t="shared" si="16"/>
        <v>0.25225225225225234</v>
      </c>
      <c r="Y26" s="104">
        <f t="shared" si="16"/>
        <v>0.39047619047619048</v>
      </c>
      <c r="Z26" s="104">
        <f t="shared" si="32"/>
        <v>0.41121495327102808</v>
      </c>
      <c r="AA26" s="104">
        <f t="shared" si="10"/>
        <v>3.9064495982456555</v>
      </c>
      <c r="AB26" s="104">
        <f t="shared" si="33"/>
        <v>0.48830619978070694</v>
      </c>
      <c r="AC26" s="105">
        <f t="shared" si="34"/>
        <v>3</v>
      </c>
      <c r="AD26" s="105">
        <f t="shared" si="35"/>
        <v>2</v>
      </c>
      <c r="AE26" s="104"/>
      <c r="AF26" s="103">
        <v>3</v>
      </c>
      <c r="AG26" s="103">
        <v>3</v>
      </c>
      <c r="AH26" s="108">
        <v>3</v>
      </c>
    </row>
    <row r="27" spans="1:39">
      <c r="A27" s="228"/>
      <c r="B27" t="s">
        <v>19</v>
      </c>
      <c r="C27" s="160">
        <f t="shared" si="17"/>
        <v>0.74471028873298495</v>
      </c>
      <c r="D27" s="69">
        <f t="shared" ref="D27" si="71">(F61-F$80)/F$82</f>
        <v>0.51351351351351471</v>
      </c>
      <c r="E27" s="69">
        <f t="shared" ref="E27" si="72">(G61-G$80)/G$82</f>
        <v>0.64555052790346912</v>
      </c>
      <c r="F27" s="69">
        <f t="shared" ref="F27" si="73">(H61-H$80)/H$82</f>
        <v>2.8776978417266213E-2</v>
      </c>
      <c r="G27" s="69">
        <f t="shared" ref="G27" si="74">(I61-I$80)/I$82</f>
        <v>0.42139384116693684</v>
      </c>
      <c r="H27" s="69">
        <f t="shared" ref="H27" si="75">(J61-J$80)/J$82</f>
        <v>0.36936936936936943</v>
      </c>
      <c r="I27" s="69">
        <f t="shared" ref="I27" si="76">(K61-K$80)/K$82</f>
        <v>0.49841269841269836</v>
      </c>
      <c r="J27" s="161">
        <f t="shared" ref="J27" si="77">(L61-L$80)/L$82</f>
        <v>8.4112149532710317E-2</v>
      </c>
      <c r="K27" s="155" cm="1">
        <f t="array" ref="K27">SQRT(SUMPRODUCT((C27:J27-C$40:J$40)^2, C$50:J$50))</f>
        <v>0.63182978119218625</v>
      </c>
      <c r="L27" s="103">
        <f t="shared" si="4"/>
        <v>0.1865518227104741</v>
      </c>
      <c r="M27" s="103">
        <f t="shared" si="25"/>
        <v>4</v>
      </c>
      <c r="N27" s="103">
        <f t="shared" si="26"/>
        <v>3</v>
      </c>
      <c r="O27" s="102" cm="1">
        <f t="array" ref="O27">SQRT(SUMPRODUCT((C27:J27-C$40:J$40)^2, C$51:J$51))</f>
        <v>0.63010716809513434</v>
      </c>
      <c r="P27" s="103">
        <f t="shared" si="7"/>
        <v>0.20243221323961447</v>
      </c>
      <c r="Q27" s="103">
        <f t="shared" si="15"/>
        <v>4</v>
      </c>
      <c r="R27" s="103">
        <f t="shared" si="27"/>
        <v>3</v>
      </c>
      <c r="S27" s="104">
        <f t="shared" si="28"/>
        <v>0.74471028873298495</v>
      </c>
      <c r="T27" s="104">
        <f t="shared" si="29"/>
        <v>0.51351351351351471</v>
      </c>
      <c r="U27" s="104">
        <f t="shared" si="30"/>
        <v>0.64555052790346912</v>
      </c>
      <c r="V27" s="104">
        <f t="shared" si="31"/>
        <v>2.8776978417266213E-2</v>
      </c>
      <c r="W27" s="104">
        <f t="shared" si="16"/>
        <v>0.42139384116693684</v>
      </c>
      <c r="X27" s="104">
        <f t="shared" si="16"/>
        <v>0.36936936936936943</v>
      </c>
      <c r="Y27" s="104">
        <f t="shared" si="16"/>
        <v>0.49841269841269836</v>
      </c>
      <c r="Z27" s="104">
        <f t="shared" si="32"/>
        <v>8.4112149532710317E-2</v>
      </c>
      <c r="AA27" s="104">
        <f t="shared" si="10"/>
        <v>3.3058393670489501</v>
      </c>
      <c r="AB27" s="104">
        <f t="shared" si="33"/>
        <v>0.41322992088111876</v>
      </c>
      <c r="AC27" s="105">
        <f t="shared" si="34"/>
        <v>5</v>
      </c>
      <c r="AD27" s="105">
        <f t="shared" si="35"/>
        <v>3</v>
      </c>
      <c r="AE27" s="104"/>
      <c r="AF27" s="103">
        <v>4</v>
      </c>
      <c r="AG27" s="103">
        <v>4</v>
      </c>
      <c r="AH27" s="108">
        <v>5</v>
      </c>
    </row>
    <row r="28" spans="1:39">
      <c r="A28" s="228"/>
      <c r="B28" t="s">
        <v>20</v>
      </c>
      <c r="C28" s="160">
        <f t="shared" si="17"/>
        <v>0.73816977387707194</v>
      </c>
      <c r="D28" s="69">
        <f t="shared" ref="D28" si="78">(F62-F$80)/F$82</f>
        <v>0.24324324324324459</v>
      </c>
      <c r="E28" s="69">
        <f t="shared" ref="E28" si="79">(G62-G$80)/G$82</f>
        <v>1.8099547511312233E-2</v>
      </c>
      <c r="F28" s="69">
        <f t="shared" ref="F28" si="80">(H62-H$80)/H$82</f>
        <v>0.7697841726618706</v>
      </c>
      <c r="G28" s="69">
        <f t="shared" ref="G28" si="81">(I62-I$80)/I$82</f>
        <v>0.40113452188006488</v>
      </c>
      <c r="H28" s="69">
        <f t="shared" ref="H28" si="82">(J62-J$80)/J$82</f>
        <v>0.11711711711711718</v>
      </c>
      <c r="I28" s="69">
        <f t="shared" ref="I28" si="83">(K62-K$80)/K$82</f>
        <v>0</v>
      </c>
      <c r="J28" s="161">
        <f t="shared" ref="J28" si="84">(L62-L$80)/L$82</f>
        <v>0.60747663551401876</v>
      </c>
      <c r="K28" s="155" cm="1">
        <f t="array" ref="K28">SQRT(SUMPRODUCT((C28:J28-C$40:J$40)^2, C$50:J$50))</f>
        <v>0.7027233025346693</v>
      </c>
      <c r="L28" s="103">
        <f t="shared" si="4"/>
        <v>9.5280079221482405E-2</v>
      </c>
      <c r="M28" s="103">
        <f t="shared" si="25"/>
        <v>8</v>
      </c>
      <c r="N28" s="103">
        <f t="shared" si="26"/>
        <v>3</v>
      </c>
      <c r="O28" s="102" cm="1">
        <f t="array" ref="O28">SQRT(SUMPRODUCT((C28:J28-C$40:J$40)^2, C$51:J$51))</f>
        <v>0.70049166429589649</v>
      </c>
      <c r="P28" s="103">
        <f t="shared" si="7"/>
        <v>0.11334196050246248</v>
      </c>
      <c r="Q28" s="103">
        <f t="shared" si="15"/>
        <v>8</v>
      </c>
      <c r="R28" s="103">
        <f t="shared" si="27"/>
        <v>3</v>
      </c>
      <c r="S28" s="104">
        <f t="shared" si="28"/>
        <v>0.73816977387707194</v>
      </c>
      <c r="T28" s="104">
        <f t="shared" si="29"/>
        <v>0.24324324324324459</v>
      </c>
      <c r="U28" s="104">
        <f t="shared" si="30"/>
        <v>1.8099547511312233E-2</v>
      </c>
      <c r="V28" s="104">
        <f t="shared" si="31"/>
        <v>0.7697841726618706</v>
      </c>
      <c r="W28" s="104">
        <f t="shared" si="16"/>
        <v>0.40113452188006488</v>
      </c>
      <c r="X28" s="104">
        <f t="shared" si="16"/>
        <v>0.11711711711711718</v>
      </c>
      <c r="Y28" s="104">
        <f t="shared" si="16"/>
        <v>0</v>
      </c>
      <c r="Z28" s="104">
        <f t="shared" si="32"/>
        <v>0.60747663551401876</v>
      </c>
      <c r="AA28" s="104">
        <f t="shared" si="10"/>
        <v>2.8950250118047003</v>
      </c>
      <c r="AB28" s="104">
        <f t="shared" si="33"/>
        <v>0.36187812647558754</v>
      </c>
      <c r="AC28" s="105">
        <f t="shared" si="34"/>
        <v>8</v>
      </c>
      <c r="AD28" s="105">
        <f t="shared" si="35"/>
        <v>3</v>
      </c>
      <c r="AE28" s="104"/>
      <c r="AF28" s="103">
        <v>8</v>
      </c>
      <c r="AG28" s="103">
        <v>8</v>
      </c>
      <c r="AH28" s="108">
        <v>8</v>
      </c>
    </row>
    <row r="29" spans="1:39">
      <c r="A29" s="228"/>
      <c r="B29" t="s">
        <v>21</v>
      </c>
      <c r="C29" s="160">
        <f t="shared" si="17"/>
        <v>1</v>
      </c>
      <c r="D29" s="69">
        <f t="shared" ref="D29" si="85">(F63-F$80)/F$82</f>
        <v>0.48648648648648729</v>
      </c>
      <c r="E29" s="69">
        <f t="shared" ref="E29" si="86">(G63-G$80)/G$82</f>
        <v>0.32579185520361992</v>
      </c>
      <c r="F29" s="69">
        <f t="shared" ref="F29" si="87">(H63-H$80)/H$82</f>
        <v>8.6330935251798635E-2</v>
      </c>
      <c r="G29" s="69">
        <f t="shared" ref="G29" si="88">(I63-I$80)/I$82</f>
        <v>0.22366288492706643</v>
      </c>
      <c r="H29" s="69">
        <f t="shared" ref="H29" si="89">(J63-J$80)/J$82</f>
        <v>0.28828828828828829</v>
      </c>
      <c r="I29" s="69">
        <f t="shared" ref="I29" si="90">(K63-K$80)/K$82</f>
        <v>0.45714285714285713</v>
      </c>
      <c r="J29" s="161">
        <f t="shared" ref="J29" si="91">(L63-L$80)/L$82</f>
        <v>0.40186915887850466</v>
      </c>
      <c r="K29" s="155" cm="1">
        <f t="array" ref="K29">SQRT(SUMPRODUCT((C29:J29-C$40:J$40)^2, C$50:J$50))</f>
        <v>0.64369355756715962</v>
      </c>
      <c r="L29" s="103">
        <f t="shared" si="4"/>
        <v>0.17127782399236491</v>
      </c>
      <c r="M29" s="103">
        <f t="shared" si="25"/>
        <v>7</v>
      </c>
      <c r="N29" s="103">
        <f t="shared" si="26"/>
        <v>3</v>
      </c>
      <c r="O29" s="102" cm="1">
        <f t="array" ref="O29">SQRT(SUMPRODUCT((C29:J29-C$40:J$40)^2, C$51:J$51))</f>
        <v>0.63659378423573476</v>
      </c>
      <c r="P29" s="103">
        <f t="shared" si="7"/>
        <v>0.19422167963393777</v>
      </c>
      <c r="Q29" s="103">
        <f t="shared" si="15"/>
        <v>6</v>
      </c>
      <c r="R29" s="103">
        <f t="shared" si="27"/>
        <v>3</v>
      </c>
      <c r="S29" s="104">
        <f t="shared" si="28"/>
        <v>1</v>
      </c>
      <c r="T29" s="104">
        <f t="shared" si="29"/>
        <v>0.48648648648648729</v>
      </c>
      <c r="U29" s="104">
        <f t="shared" si="30"/>
        <v>0.32579185520361992</v>
      </c>
      <c r="V29" s="104">
        <f t="shared" si="31"/>
        <v>8.6330935251798635E-2</v>
      </c>
      <c r="W29" s="104">
        <f t="shared" si="16"/>
        <v>0.22366288492706643</v>
      </c>
      <c r="X29" s="104">
        <f t="shared" si="16"/>
        <v>0.28828828828828829</v>
      </c>
      <c r="Y29" s="104">
        <f t="shared" si="16"/>
        <v>0.45714285714285713</v>
      </c>
      <c r="Z29" s="104">
        <f t="shared" si="32"/>
        <v>0.40186915887850466</v>
      </c>
      <c r="AA29" s="104">
        <f t="shared" si="10"/>
        <v>3.2695724661786225</v>
      </c>
      <c r="AB29" s="104">
        <f t="shared" si="33"/>
        <v>0.40869655827232781</v>
      </c>
      <c r="AC29" s="105">
        <f t="shared" si="34"/>
        <v>6</v>
      </c>
      <c r="AD29" s="105">
        <f t="shared" si="35"/>
        <v>3</v>
      </c>
      <c r="AE29" s="104"/>
      <c r="AF29" s="103">
        <v>7</v>
      </c>
      <c r="AG29" s="103">
        <v>6</v>
      </c>
      <c r="AH29" s="108">
        <v>6</v>
      </c>
    </row>
    <row r="30" spans="1:39" ht="15.75" thickBot="1">
      <c r="A30" s="40"/>
      <c r="B30" t="s">
        <v>22</v>
      </c>
      <c r="C30" s="162">
        <f t="shared" si="17"/>
        <v>1</v>
      </c>
      <c r="D30" s="163">
        <f t="shared" ref="D30" si="92">(F64-F$80)/F$82</f>
        <v>1</v>
      </c>
      <c r="E30" s="163">
        <f t="shared" ref="E30" si="93">(G64-G$80)/G$82</f>
        <v>0.98944193061840113</v>
      </c>
      <c r="F30" s="163">
        <f t="shared" ref="F30" si="94">(H64-H$80)/H$82</f>
        <v>0.34532374100719415</v>
      </c>
      <c r="G30" s="163">
        <f t="shared" ref="G30" si="95">(I64-I$80)/I$82</f>
        <v>0.28363047001620745</v>
      </c>
      <c r="H30" s="163">
        <f t="shared" ref="H30" si="96">(J64-J$80)/J$82</f>
        <v>9.9099099099099155E-2</v>
      </c>
      <c r="I30" s="163">
        <f t="shared" ref="I30" si="97">(K64-K$80)/K$82</f>
        <v>0.580952380952381</v>
      </c>
      <c r="J30" s="164">
        <f t="shared" ref="J30" si="98">(L64-L$80)/L$82</f>
        <v>0.42056074766355145</v>
      </c>
      <c r="K30" s="156" cm="1">
        <f t="array" ref="K30">SQRT(SUMPRODUCT((C30:J30-C$40:J$40)^2, C$50:J$50))</f>
        <v>0.53207975997833701</v>
      </c>
      <c r="L30" s="109">
        <f>1-(K30/$K$40)</f>
        <v>0.31497481788473303</v>
      </c>
      <c r="M30" s="109">
        <f>_xlfn.RANK.AVG(L30,$L$20:$L$35)</f>
        <v>1</v>
      </c>
      <c r="N30" s="109">
        <f>VLOOKUP(L30,$AR$5:$AS$8,2,1)</f>
        <v>2</v>
      </c>
      <c r="O30" s="129" cm="1">
        <f t="array" ref="O30">SQRT(SUMPRODUCT((C30:J30-C$40:J$40)^2, C$51:J$51))</f>
        <v>0.52859199807699553</v>
      </c>
      <c r="P30" s="109">
        <f t="shared" si="7"/>
        <v>0.33092659256676249</v>
      </c>
      <c r="Q30" s="109">
        <f t="shared" si="15"/>
        <v>1</v>
      </c>
      <c r="R30" s="109">
        <f>VLOOKUP(P30,$AT$5:$AU$8,2,1)</f>
        <v>1</v>
      </c>
      <c r="S30" s="130">
        <f t="shared" si="28"/>
        <v>1</v>
      </c>
      <c r="T30" s="130">
        <f t="shared" si="29"/>
        <v>1</v>
      </c>
      <c r="U30" s="130">
        <f t="shared" si="30"/>
        <v>0.98944193061840113</v>
      </c>
      <c r="V30" s="130">
        <f t="shared" si="31"/>
        <v>0.34532374100719415</v>
      </c>
      <c r="W30" s="130">
        <f t="shared" si="16"/>
        <v>0.28363047001620745</v>
      </c>
      <c r="X30" s="130">
        <f t="shared" si="16"/>
        <v>9.9099099099099155E-2</v>
      </c>
      <c r="Y30" s="130">
        <f t="shared" si="16"/>
        <v>0.580952380952381</v>
      </c>
      <c r="Z30" s="130">
        <f t="shared" si="32"/>
        <v>0.42056074766355145</v>
      </c>
      <c r="AA30" s="130">
        <f>SUM(S30:Z30)</f>
        <v>4.7190083693568345</v>
      </c>
      <c r="AB30" s="130">
        <f>AA30/$W$33</f>
        <v>0.58987604616960432</v>
      </c>
      <c r="AC30" s="131">
        <f>_xlfn.RANK.AVG(AB30,$AB$20:$AB$35)</f>
        <v>1</v>
      </c>
      <c r="AD30" s="131">
        <f>VLOOKUP(AB30,$AV$5:$AW$8,2,1)</f>
        <v>1</v>
      </c>
      <c r="AE30" s="130"/>
      <c r="AF30" s="109">
        <v>1</v>
      </c>
      <c r="AG30" s="109">
        <v>1</v>
      </c>
      <c r="AH30" s="110">
        <v>1</v>
      </c>
    </row>
    <row r="31" spans="1:39" ht="15.75" thickBot="1">
      <c r="A31" s="40"/>
      <c r="B31" s="136"/>
      <c r="C31" s="69"/>
      <c r="D31" s="69"/>
      <c r="E31" s="69"/>
      <c r="F31" s="69"/>
      <c r="G31" s="69"/>
      <c r="H31" s="69"/>
      <c r="I31" s="69"/>
      <c r="J31" s="69"/>
      <c r="K31" s="69"/>
      <c r="O31" s="69"/>
      <c r="R31" t="s">
        <v>55</v>
      </c>
      <c r="S31" s="132">
        <f>MAX(S4:S30)</f>
        <v>1</v>
      </c>
      <c r="T31" s="133">
        <f t="shared" ref="T31:Z31" si="99">MAX(T4:T30)</f>
        <v>1</v>
      </c>
      <c r="U31" s="133">
        <f t="shared" si="99"/>
        <v>1</v>
      </c>
      <c r="V31" s="133">
        <f t="shared" si="99"/>
        <v>1</v>
      </c>
      <c r="W31" s="133">
        <f t="shared" si="99"/>
        <v>1</v>
      </c>
      <c r="X31" s="133">
        <f t="shared" si="99"/>
        <v>1</v>
      </c>
      <c r="Y31" s="133">
        <f t="shared" si="99"/>
        <v>1</v>
      </c>
      <c r="Z31" s="134">
        <f t="shared" si="99"/>
        <v>1</v>
      </c>
      <c r="AA31" s="19"/>
      <c r="AB31" s="19"/>
      <c r="AC31" s="66"/>
      <c r="AD31" s="66"/>
      <c r="AE31" s="19"/>
    </row>
    <row r="32" spans="1:39">
      <c r="A32" s="40"/>
      <c r="B32" s="36"/>
      <c r="C32" s="69"/>
      <c r="D32" s="69"/>
      <c r="E32" s="69"/>
      <c r="F32" s="69"/>
      <c r="G32" s="69"/>
      <c r="H32" s="69"/>
      <c r="I32" s="69"/>
      <c r="J32" s="69"/>
      <c r="K32" s="69"/>
      <c r="O32" s="6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66"/>
      <c r="AD32" s="66"/>
      <c r="AE32" s="19"/>
    </row>
    <row r="33" spans="1:31">
      <c r="A33" s="40"/>
      <c r="B33" s="36"/>
      <c r="C33" s="69"/>
      <c r="D33" s="69"/>
      <c r="E33" s="69"/>
      <c r="F33" s="69"/>
      <c r="G33" s="69"/>
      <c r="H33" s="69"/>
      <c r="I33" s="69"/>
      <c r="J33" s="69"/>
      <c r="K33" s="69"/>
      <c r="O33" s="69"/>
      <c r="S33" s="19"/>
      <c r="T33" s="19"/>
      <c r="U33" s="19"/>
      <c r="V33" s="19" t="s">
        <v>96</v>
      </c>
      <c r="W33" s="19">
        <f>SUM(S31:Z31)</f>
        <v>8</v>
      </c>
      <c r="X33" s="19"/>
      <c r="Y33" s="19"/>
      <c r="Z33" s="19"/>
      <c r="AA33" s="19"/>
      <c r="AB33" s="19"/>
      <c r="AC33" s="66"/>
      <c r="AD33" s="66"/>
      <c r="AE33" s="19"/>
    </row>
    <row r="34" spans="1:31">
      <c r="A34" s="40"/>
      <c r="B34" s="36"/>
      <c r="C34" s="69"/>
      <c r="D34" s="69"/>
      <c r="E34" s="69"/>
      <c r="F34" s="69"/>
      <c r="G34" s="69"/>
      <c r="H34" s="69"/>
      <c r="I34" s="69"/>
      <c r="J34" s="69"/>
      <c r="K34" s="69"/>
      <c r="O34" s="6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66"/>
      <c r="AD34" s="66"/>
      <c r="AE34" s="19"/>
    </row>
    <row r="35" spans="1:31">
      <c r="A35" s="40"/>
      <c r="C35" s="69"/>
      <c r="D35" s="69"/>
      <c r="E35" s="69"/>
      <c r="F35" s="69"/>
      <c r="G35" s="69"/>
      <c r="H35" s="69"/>
      <c r="I35" s="69"/>
      <c r="J35" s="69"/>
      <c r="K35" s="69"/>
      <c r="O35" s="6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66"/>
      <c r="AD35" s="66"/>
      <c r="AE35" s="19"/>
    </row>
    <row r="36" spans="1:31">
      <c r="B36" s="124" t="s">
        <v>51</v>
      </c>
      <c r="C36" s="67">
        <f t="shared" ref="C36:J36" si="100">AVERAGE(C4:C31)</f>
        <v>0.53586397135115593</v>
      </c>
      <c r="D36" s="67">
        <f t="shared" si="100"/>
        <v>0.3753071253071259</v>
      </c>
      <c r="E36" s="67">
        <f t="shared" si="100"/>
        <v>0.45159742218565752</v>
      </c>
      <c r="F36" s="67">
        <f t="shared" si="100"/>
        <v>0.37965990843688679</v>
      </c>
      <c r="G36" s="67">
        <f t="shared" si="100"/>
        <v>0.4263665831737144</v>
      </c>
      <c r="H36" s="67">
        <f t="shared" si="100"/>
        <v>0.41451678951678944</v>
      </c>
      <c r="I36" s="67">
        <f t="shared" si="100"/>
        <v>0.446031746031746</v>
      </c>
      <c r="J36" s="67">
        <f t="shared" si="100"/>
        <v>0.47281223449447746</v>
      </c>
      <c r="L36" s="67">
        <f>AVERAGE(L4:L30)</f>
        <v>0.1942951305250534</v>
      </c>
      <c r="P36" s="67">
        <f>AVERAGE(P4:P30)</f>
        <v>0.20600651244328141</v>
      </c>
      <c r="AB36" s="19">
        <f>AVERAGE(AB4:AB30)</f>
        <v>0.43776947256219417</v>
      </c>
    </row>
    <row r="37" spans="1:31">
      <c r="B37" s="124" t="s">
        <v>52</v>
      </c>
      <c r="C37">
        <f t="shared" ref="C37:J37" si="101">_xlfn.STDEV.P(C4:C31)</f>
        <v>0.30394800453614179</v>
      </c>
      <c r="D37">
        <f t="shared" si="101"/>
        <v>0.26801676667694696</v>
      </c>
      <c r="E37">
        <f t="shared" si="101"/>
        <v>0.29359038166079759</v>
      </c>
      <c r="F37">
        <f t="shared" si="101"/>
        <v>0.26590347628426564</v>
      </c>
      <c r="G37">
        <f t="shared" si="101"/>
        <v>0.2812753518767524</v>
      </c>
      <c r="H37">
        <f t="shared" si="101"/>
        <v>0.30234563967565903</v>
      </c>
      <c r="I37">
        <f t="shared" si="101"/>
        <v>0.27890022652691587</v>
      </c>
      <c r="J37">
        <f t="shared" si="101"/>
        <v>0.29670183100152431</v>
      </c>
      <c r="L37">
        <f>_xlfn.STDEV.P(L4:L30)</f>
        <v>0.12229840845556604</v>
      </c>
      <c r="P37">
        <f>_xlfn.STDEV.P(P4:P30)</f>
        <v>0.12170825914299002</v>
      </c>
      <c r="AB37">
        <f>_xlfn.STDEV.P(AB4:AB30)</f>
        <v>0.11053297615706345</v>
      </c>
    </row>
    <row r="38" spans="1:31">
      <c r="B38" s="124" t="s">
        <v>53</v>
      </c>
      <c r="C38">
        <f>C37/C36</f>
        <v>0.56721112219907432</v>
      </c>
      <c r="D38">
        <f t="shared" ref="D38:J38" si="102">D37/D36</f>
        <v>0.71412650761058749</v>
      </c>
      <c r="E38">
        <f t="shared" si="102"/>
        <v>0.65011527355463694</v>
      </c>
      <c r="F38">
        <f t="shared" si="102"/>
        <v>0.70037280833530102</v>
      </c>
      <c r="G38">
        <f t="shared" si="102"/>
        <v>0.65970308879050321</v>
      </c>
      <c r="H38">
        <f t="shared" si="102"/>
        <v>0.72939298798514152</v>
      </c>
      <c r="I38">
        <f t="shared" si="102"/>
        <v>0.62529232281835234</v>
      </c>
      <c r="J38">
        <f t="shared" si="102"/>
        <v>0.62752570546054653</v>
      </c>
      <c r="AB38" s="19">
        <f>MIN(AB4:AB30)</f>
        <v>0.26741702502187048</v>
      </c>
    </row>
    <row r="39" spans="1:31">
      <c r="B39" s="124" t="s">
        <v>54</v>
      </c>
      <c r="C39" s="66">
        <f t="shared" ref="C39:J39" si="103">MIN(C4:C30)</f>
        <v>0</v>
      </c>
      <c r="D39" s="66">
        <f t="shared" si="103"/>
        <v>0</v>
      </c>
      <c r="E39" s="66">
        <f t="shared" si="103"/>
        <v>0</v>
      </c>
      <c r="F39" s="66">
        <f t="shared" si="103"/>
        <v>0</v>
      </c>
      <c r="G39" s="66">
        <f t="shared" si="103"/>
        <v>0</v>
      </c>
      <c r="H39" s="66">
        <f t="shared" si="103"/>
        <v>0</v>
      </c>
      <c r="I39" s="66">
        <f t="shared" si="103"/>
        <v>0</v>
      </c>
      <c r="J39" s="66">
        <f t="shared" si="103"/>
        <v>0</v>
      </c>
    </row>
    <row r="40" spans="1:31">
      <c r="B40" s="124" t="s">
        <v>55</v>
      </c>
      <c r="C40" s="67">
        <f t="shared" ref="C40:K40" si="104">MAX(C4:C30)</f>
        <v>1</v>
      </c>
      <c r="D40" s="67">
        <f t="shared" si="104"/>
        <v>1</v>
      </c>
      <c r="E40" s="67">
        <f t="shared" si="104"/>
        <v>1</v>
      </c>
      <c r="F40" s="67">
        <f t="shared" si="104"/>
        <v>1</v>
      </c>
      <c r="G40" s="67">
        <f t="shared" si="104"/>
        <v>1</v>
      </c>
      <c r="H40" s="67">
        <f t="shared" si="104"/>
        <v>1</v>
      </c>
      <c r="I40" s="67">
        <f t="shared" si="104"/>
        <v>1</v>
      </c>
      <c r="J40" s="67">
        <f t="shared" si="104"/>
        <v>1</v>
      </c>
      <c r="K40" s="67">
        <f t="shared" si="104"/>
        <v>0.77673021936995834</v>
      </c>
      <c r="O40" s="67">
        <f>MAX(O4:O30)</f>
        <v>0.79003587977712342</v>
      </c>
    </row>
    <row r="41" spans="1:31">
      <c r="B41" s="124" t="s">
        <v>56</v>
      </c>
      <c r="C41" s="19">
        <f>C40-C39</f>
        <v>1</v>
      </c>
      <c r="D41">
        <f t="shared" ref="D41:J41" si="105">D40-D39</f>
        <v>1</v>
      </c>
      <c r="E41">
        <f t="shared" si="105"/>
        <v>1</v>
      </c>
      <c r="F41">
        <f t="shared" si="105"/>
        <v>1</v>
      </c>
      <c r="G41">
        <f t="shared" si="105"/>
        <v>1</v>
      </c>
      <c r="H41">
        <f t="shared" si="105"/>
        <v>1</v>
      </c>
      <c r="I41">
        <f t="shared" si="105"/>
        <v>1</v>
      </c>
      <c r="J41">
        <f t="shared" si="105"/>
        <v>1</v>
      </c>
    </row>
    <row r="42" spans="1:31">
      <c r="B42" s="124" t="s">
        <v>57</v>
      </c>
      <c r="C42">
        <f t="shared" ref="C42:J42" si="106">QUARTILE(C4:C30,1)</f>
        <v>0.2867298357417708</v>
      </c>
      <c r="D42">
        <f t="shared" si="106"/>
        <v>0.15202702702702786</v>
      </c>
      <c r="E42">
        <f t="shared" si="106"/>
        <v>0.21870286576168926</v>
      </c>
      <c r="F42">
        <f t="shared" si="106"/>
        <v>0.17266187050359716</v>
      </c>
      <c r="G42">
        <f t="shared" si="106"/>
        <v>0.21576175040518639</v>
      </c>
      <c r="H42">
        <f t="shared" si="106"/>
        <v>0.13119369369369374</v>
      </c>
      <c r="I42">
        <f t="shared" si="106"/>
        <v>0.24523809523809523</v>
      </c>
      <c r="J42">
        <f t="shared" si="106"/>
        <v>0.2990654205607477</v>
      </c>
    </row>
    <row r="43" spans="1:31">
      <c r="B43" s="124" t="s">
        <v>58</v>
      </c>
      <c r="C43">
        <f>QUARTILE(C4:C30,3)</f>
        <v>0.76067725074768711</v>
      </c>
      <c r="D43">
        <f t="shared" ref="D43:J43" si="107">QUARTILE(D5:D35,3)</f>
        <v>0.54054054054054013</v>
      </c>
      <c r="E43">
        <f t="shared" si="107"/>
        <v>0.64555052790346912</v>
      </c>
      <c r="F43">
        <f t="shared" si="107"/>
        <v>0.48201438848920869</v>
      </c>
      <c r="G43">
        <f t="shared" si="107"/>
        <v>0.55510534846029158</v>
      </c>
      <c r="H43">
        <f t="shared" si="107"/>
        <v>0.64864864864864857</v>
      </c>
      <c r="I43">
        <f t="shared" si="107"/>
        <v>0.63809523809523816</v>
      </c>
      <c r="J43">
        <f t="shared" si="107"/>
        <v>0.71962616822429903</v>
      </c>
    </row>
    <row r="44" spans="1:31">
      <c r="B44" s="124" t="s">
        <v>59</v>
      </c>
      <c r="C44">
        <f>C43-C42</f>
        <v>0.47394741500591631</v>
      </c>
      <c r="D44">
        <f t="shared" ref="D44:J44" si="108">D43-D42</f>
        <v>0.38851351351351227</v>
      </c>
      <c r="E44">
        <f t="shared" si="108"/>
        <v>0.42684766214177983</v>
      </c>
      <c r="F44">
        <f t="shared" si="108"/>
        <v>0.30935251798561153</v>
      </c>
      <c r="G44">
        <f t="shared" si="108"/>
        <v>0.33934359805510517</v>
      </c>
      <c r="H44">
        <f t="shared" si="108"/>
        <v>0.51745495495495486</v>
      </c>
      <c r="I44">
        <f t="shared" si="108"/>
        <v>0.3928571428571429</v>
      </c>
      <c r="J44">
        <f t="shared" si="108"/>
        <v>0.42056074766355134</v>
      </c>
    </row>
    <row r="45" spans="1:31">
      <c r="B45" s="124" t="s">
        <v>60</v>
      </c>
      <c r="C45">
        <f>C42-1.5*C44</f>
        <v>-0.42419128676710371</v>
      </c>
      <c r="D45">
        <f t="shared" ref="D45:J45" si="109">D42-1.5*D44</f>
        <v>-0.43074324324324054</v>
      </c>
      <c r="E45">
        <f t="shared" si="109"/>
        <v>-0.42156862745098045</v>
      </c>
      <c r="F45">
        <f t="shared" si="109"/>
        <v>-0.29136690647482011</v>
      </c>
      <c r="G45">
        <f t="shared" si="109"/>
        <v>-0.29325364667747134</v>
      </c>
      <c r="H45">
        <f t="shared" si="109"/>
        <v>-0.64498873873873852</v>
      </c>
      <c r="I45">
        <f t="shared" si="109"/>
        <v>-0.34404761904761916</v>
      </c>
      <c r="J45">
        <f t="shared" si="109"/>
        <v>-0.33177570093457931</v>
      </c>
    </row>
    <row r="46" spans="1:31">
      <c r="B46" s="124" t="s">
        <v>61</v>
      </c>
      <c r="C46">
        <f>C43+1.5*C44</f>
        <v>1.4715983732565616</v>
      </c>
      <c r="D46">
        <f t="shared" ref="D46:J46" si="110">D43+1.5*D44</f>
        <v>1.1233108108108085</v>
      </c>
      <c r="E46">
        <f t="shared" si="110"/>
        <v>1.2858220211161389</v>
      </c>
      <c r="F46">
        <f t="shared" si="110"/>
        <v>0.94604316546762601</v>
      </c>
      <c r="G46">
        <f t="shared" si="110"/>
        <v>1.0641207455429493</v>
      </c>
      <c r="H46">
        <f t="shared" si="110"/>
        <v>1.4248310810810807</v>
      </c>
      <c r="I46">
        <f t="shared" si="110"/>
        <v>1.2273809523809525</v>
      </c>
      <c r="J46">
        <f t="shared" si="110"/>
        <v>1.3504672897196262</v>
      </c>
    </row>
    <row r="47" spans="1:31">
      <c r="B47" s="124" t="s">
        <v>62</v>
      </c>
      <c r="C47" t="str">
        <f t="shared" ref="C47:J47" si="111">IF(C5&lt;C$44,"tak","nie")</f>
        <v>tak</v>
      </c>
      <c r="D47" t="str">
        <f t="shared" si="111"/>
        <v>nie</v>
      </c>
      <c r="E47" t="str">
        <f t="shared" si="111"/>
        <v>tak</v>
      </c>
      <c r="F47" t="str">
        <f t="shared" si="111"/>
        <v>nie</v>
      </c>
      <c r="G47" t="str">
        <f t="shared" si="111"/>
        <v>tak</v>
      </c>
      <c r="H47" t="str">
        <f t="shared" si="111"/>
        <v>tak</v>
      </c>
      <c r="I47" t="str">
        <f t="shared" si="111"/>
        <v>nie</v>
      </c>
      <c r="J47" t="str">
        <f t="shared" si="111"/>
        <v>nie</v>
      </c>
    </row>
    <row r="48" spans="1:31">
      <c r="B48" s="124" t="s">
        <v>63</v>
      </c>
      <c r="C48" t="str">
        <f t="shared" ref="C48:J48" si="112">IF(C5&gt;C$45,"tak","nie")</f>
        <v>tak</v>
      </c>
      <c r="D48" t="str">
        <f t="shared" si="112"/>
        <v>tak</v>
      </c>
      <c r="E48" t="str">
        <f t="shared" si="112"/>
        <v>tak</v>
      </c>
      <c r="F48" t="str">
        <f t="shared" si="112"/>
        <v>tak</v>
      </c>
      <c r="G48" t="str">
        <f t="shared" si="112"/>
        <v>tak</v>
      </c>
      <c r="H48" t="str">
        <f t="shared" si="112"/>
        <v>tak</v>
      </c>
      <c r="I48" t="str">
        <f t="shared" si="112"/>
        <v>tak</v>
      </c>
      <c r="J48" t="str">
        <f t="shared" si="112"/>
        <v>tak</v>
      </c>
    </row>
    <row r="49" spans="2:16">
      <c r="B49" s="124"/>
    </row>
    <row r="50" spans="2:16">
      <c r="B50" s="36" t="s">
        <v>97</v>
      </c>
      <c r="C50">
        <v>0.125</v>
      </c>
      <c r="D50">
        <v>0.125</v>
      </c>
      <c r="E50">
        <v>0.125</v>
      </c>
      <c r="F50">
        <v>0.125</v>
      </c>
      <c r="G50">
        <v>0.125</v>
      </c>
      <c r="H50">
        <v>0.125</v>
      </c>
      <c r="I50">
        <v>0.125</v>
      </c>
      <c r="J50">
        <v>0.125</v>
      </c>
    </row>
    <row r="51" spans="2:16">
      <c r="B51" s="124" t="s">
        <v>99</v>
      </c>
      <c r="C51">
        <v>0.12232497714729162</v>
      </c>
      <c r="D51">
        <v>0.15803715355014503</v>
      </c>
      <c r="E51">
        <v>9.7505734444728126E-2</v>
      </c>
      <c r="F51">
        <v>0.11733641986327946</v>
      </c>
      <c r="G51">
        <v>0.12550628902837169</v>
      </c>
      <c r="H51">
        <v>0.12278584807016586</v>
      </c>
      <c r="I51">
        <v>0.13160652226627614</v>
      </c>
      <c r="J51">
        <v>0.1248970556297422</v>
      </c>
    </row>
    <row r="52" spans="2:16" ht="15.75" thickBot="1">
      <c r="P52" s="165"/>
    </row>
    <row r="53" spans="2:16" ht="17.25" thickTop="1" thickBot="1">
      <c r="D53" s="27">
        <v>2023</v>
      </c>
      <c r="E53" s="28" t="s">
        <v>43</v>
      </c>
      <c r="F53" s="29" t="s">
        <v>44</v>
      </c>
      <c r="G53" s="29" t="s">
        <v>45</v>
      </c>
      <c r="H53" s="29" t="s">
        <v>46</v>
      </c>
      <c r="I53" s="29" t="s">
        <v>47</v>
      </c>
      <c r="J53" s="29" t="s">
        <v>48</v>
      </c>
      <c r="K53" s="29" t="s">
        <v>49</v>
      </c>
      <c r="L53" s="30" t="s">
        <v>50</v>
      </c>
      <c r="P53" s="145"/>
    </row>
    <row r="54" spans="2:16" ht="16.5" thickTop="1">
      <c r="D54" s="1" t="s">
        <v>11</v>
      </c>
      <c r="E54" s="14">
        <v>24484.89</v>
      </c>
      <c r="F54" s="15">
        <v>75.8</v>
      </c>
      <c r="G54" s="15">
        <v>0.79</v>
      </c>
      <c r="H54" s="15">
        <v>18.7</v>
      </c>
      <c r="I54" s="15">
        <v>5.48</v>
      </c>
      <c r="J54" s="15">
        <v>2.6000000000000005</v>
      </c>
      <c r="K54" s="33">
        <v>2</v>
      </c>
      <c r="L54" s="21">
        <v>3.8</v>
      </c>
    </row>
    <row r="55" spans="2:16">
      <c r="D55" s="2" t="s">
        <v>12</v>
      </c>
      <c r="E55" s="8">
        <v>30029.1</v>
      </c>
      <c r="F55" s="9">
        <v>78.599999999999994</v>
      </c>
      <c r="G55" s="9">
        <v>1.39</v>
      </c>
      <c r="H55" s="9">
        <v>15.2</v>
      </c>
      <c r="I55" s="9">
        <v>6.85</v>
      </c>
      <c r="J55" s="9">
        <v>0.80000000000000071</v>
      </c>
      <c r="K55" s="34">
        <v>11.3</v>
      </c>
      <c r="L55" s="10">
        <v>4.3</v>
      </c>
    </row>
    <row r="56" spans="2:16">
      <c r="D56" s="2" t="s">
        <v>13</v>
      </c>
      <c r="E56" s="8">
        <v>34664.5</v>
      </c>
      <c r="F56" s="9">
        <v>79.900000000000006</v>
      </c>
      <c r="G56" s="9">
        <v>1.82</v>
      </c>
      <c r="H56" s="9">
        <v>13.4</v>
      </c>
      <c r="I56" s="9">
        <v>14.195</v>
      </c>
      <c r="J56" s="9">
        <v>4.3000000000000007</v>
      </c>
      <c r="K56" s="34">
        <v>20</v>
      </c>
      <c r="L56" s="10">
        <v>0.40000000000000036</v>
      </c>
    </row>
    <row r="57" spans="2:16">
      <c r="D57" s="2" t="s">
        <v>15</v>
      </c>
      <c r="E57" s="8">
        <v>30583.4</v>
      </c>
      <c r="F57" s="9">
        <v>79.099999999999994</v>
      </c>
      <c r="G57" s="9">
        <v>1.83</v>
      </c>
      <c r="H57" s="9">
        <v>17.5</v>
      </c>
      <c r="I57" s="9">
        <v>10.79</v>
      </c>
      <c r="J57" s="9">
        <v>0.5</v>
      </c>
      <c r="K57" s="34">
        <v>7.8</v>
      </c>
      <c r="L57" s="10">
        <v>0</v>
      </c>
    </row>
    <row r="58" spans="2:16">
      <c r="D58" s="2" t="s">
        <v>16</v>
      </c>
      <c r="E58" s="8">
        <v>33263.800000000003</v>
      </c>
      <c r="F58" s="9">
        <v>77.599999999999994</v>
      </c>
      <c r="G58" s="9">
        <v>0.82</v>
      </c>
      <c r="H58" s="9">
        <v>11.6</v>
      </c>
      <c r="I58" s="9">
        <v>7.79</v>
      </c>
      <c r="J58" s="9">
        <v>0</v>
      </c>
      <c r="K58" s="34">
        <v>7.7</v>
      </c>
      <c r="L58" s="10">
        <v>5.0999999999999996</v>
      </c>
    </row>
    <row r="59" spans="2:16">
      <c r="D59" s="2" t="s">
        <v>17</v>
      </c>
      <c r="E59" s="8">
        <v>27195.5</v>
      </c>
      <c r="F59" s="9">
        <v>75.599999999999994</v>
      </c>
      <c r="G59" s="9">
        <v>1.05</v>
      </c>
      <c r="H59" s="9">
        <v>16</v>
      </c>
      <c r="I59" s="9">
        <v>8.6999999999999993</v>
      </c>
      <c r="J59" s="9">
        <v>0.40000000000000036</v>
      </c>
      <c r="K59" s="34">
        <v>6.4</v>
      </c>
      <c r="L59" s="10">
        <v>1.7000000000000002</v>
      </c>
    </row>
    <row r="60" spans="2:16">
      <c r="D60" s="2" t="s">
        <v>18</v>
      </c>
      <c r="E60" s="8">
        <v>29323</v>
      </c>
      <c r="F60" s="9">
        <v>76.7</v>
      </c>
      <c r="G60" s="9">
        <v>1.38</v>
      </c>
      <c r="H60" s="9">
        <v>18.100000000000001</v>
      </c>
      <c r="I60" s="9">
        <v>14.195</v>
      </c>
      <c r="J60" s="9">
        <v>2.8000000000000007</v>
      </c>
      <c r="K60" s="34">
        <v>12.3</v>
      </c>
      <c r="L60" s="10">
        <v>4.4000000000000004</v>
      </c>
    </row>
    <row r="61" spans="2:16">
      <c r="D61" s="2" t="s">
        <v>19</v>
      </c>
      <c r="E61" s="8">
        <v>29572.1</v>
      </c>
      <c r="F61" s="9">
        <v>78.400000000000006</v>
      </c>
      <c r="G61" s="9">
        <v>1.56</v>
      </c>
      <c r="H61" s="9">
        <v>12</v>
      </c>
      <c r="I61" s="9">
        <v>9.14</v>
      </c>
      <c r="J61" s="9">
        <v>4.1000000000000005</v>
      </c>
      <c r="K61" s="34">
        <v>15.7</v>
      </c>
      <c r="L61" s="10">
        <v>0.90000000000000036</v>
      </c>
      <c r="N61" s="9"/>
      <c r="O61" s="9"/>
    </row>
    <row r="62" spans="2:16">
      <c r="D62" s="2" t="s">
        <v>20</v>
      </c>
      <c r="E62" s="8">
        <v>29431.7</v>
      </c>
      <c r="F62" s="9">
        <v>76.400000000000006</v>
      </c>
      <c r="G62" s="9">
        <v>0.52</v>
      </c>
      <c r="H62" s="9">
        <v>22.3</v>
      </c>
      <c r="I62" s="9">
        <v>8.89</v>
      </c>
      <c r="J62" s="9">
        <v>1.3000000000000007</v>
      </c>
      <c r="K62" s="34">
        <v>0</v>
      </c>
      <c r="L62" s="10">
        <v>6.5</v>
      </c>
      <c r="N62" s="9"/>
      <c r="O62" s="9"/>
    </row>
    <row r="63" spans="2:16">
      <c r="D63" s="2" t="s">
        <v>21</v>
      </c>
      <c r="E63" s="8">
        <v>35052.199999999997</v>
      </c>
      <c r="F63" s="9">
        <v>78.2</v>
      </c>
      <c r="G63" s="9">
        <v>1.03</v>
      </c>
      <c r="H63" s="9">
        <v>12.8</v>
      </c>
      <c r="I63" s="9">
        <v>6.7</v>
      </c>
      <c r="J63" s="9">
        <v>3.2</v>
      </c>
      <c r="K63" s="34">
        <v>14.4</v>
      </c>
      <c r="L63" s="10">
        <v>4.3</v>
      </c>
      <c r="N63" s="9"/>
      <c r="O63" s="9"/>
    </row>
    <row r="64" spans="2:16" ht="15.75" thickBot="1">
      <c r="D64" s="3" t="s">
        <v>22</v>
      </c>
      <c r="E64" s="11">
        <v>35052.199999999997</v>
      </c>
      <c r="F64" s="12">
        <v>82</v>
      </c>
      <c r="G64" s="12">
        <v>2.13</v>
      </c>
      <c r="H64" s="12">
        <v>16.399999999999999</v>
      </c>
      <c r="I64" s="12">
        <v>7.44</v>
      </c>
      <c r="J64" s="12">
        <v>1.1000000000000005</v>
      </c>
      <c r="K64" s="35">
        <v>18.3</v>
      </c>
      <c r="L64" s="13">
        <v>4.5</v>
      </c>
      <c r="N64" s="9"/>
      <c r="O64" s="9"/>
      <c r="P64" s="165"/>
    </row>
    <row r="65" spans="2:25" ht="17.25" thickTop="1" thickBot="1">
      <c r="D65" s="27">
        <v>2015</v>
      </c>
      <c r="E65" s="28"/>
      <c r="F65" s="29"/>
      <c r="G65" s="29"/>
      <c r="H65" s="29"/>
      <c r="I65" s="29"/>
      <c r="J65" s="29"/>
      <c r="K65" s="29"/>
      <c r="L65" s="30"/>
      <c r="N65" s="9"/>
      <c r="O65" s="9"/>
      <c r="P65" s="145"/>
      <c r="Q65" s="9"/>
      <c r="R65" s="9"/>
      <c r="S65" s="9"/>
      <c r="T65" s="9"/>
      <c r="U65" s="9"/>
      <c r="V65" s="9"/>
      <c r="W65" s="34"/>
      <c r="X65" s="9"/>
    </row>
    <row r="66" spans="2:25" ht="16.5" thickTop="1">
      <c r="D66" s="1" t="s">
        <v>11</v>
      </c>
      <c r="E66">
        <v>13586</v>
      </c>
      <c r="F66">
        <v>74.7</v>
      </c>
      <c r="G66">
        <v>0.95</v>
      </c>
      <c r="H66">
        <v>22.2</v>
      </c>
      <c r="I66">
        <v>3.94</v>
      </c>
      <c r="J66">
        <v>6.1</v>
      </c>
      <c r="K66">
        <v>1.2000000000000028</v>
      </c>
      <c r="L66" s="24">
        <v>6.6</v>
      </c>
      <c r="N66" s="9"/>
      <c r="O66" s="9"/>
      <c r="Q66" s="9"/>
      <c r="R66" s="9"/>
      <c r="S66" s="9"/>
      <c r="T66" s="9"/>
      <c r="U66" s="9"/>
      <c r="V66" s="9"/>
      <c r="W66" s="34"/>
      <c r="X66" s="9"/>
    </row>
    <row r="67" spans="2:25">
      <c r="D67" s="2" t="s">
        <v>12</v>
      </c>
      <c r="E67">
        <v>17084.599999999999</v>
      </c>
      <c r="F67">
        <v>77.5</v>
      </c>
      <c r="G67">
        <v>0.82</v>
      </c>
      <c r="H67">
        <v>20.399999999999999</v>
      </c>
      <c r="I67">
        <v>6.57</v>
      </c>
      <c r="J67">
        <v>1.925</v>
      </c>
      <c r="K67">
        <v>20.100000000000001</v>
      </c>
      <c r="L67" s="24">
        <v>9.6</v>
      </c>
      <c r="N67" s="9"/>
      <c r="O67" s="9"/>
      <c r="Q67" s="9"/>
      <c r="R67" s="9"/>
      <c r="S67" s="9"/>
      <c r="T67" s="9"/>
      <c r="U67" s="9"/>
      <c r="V67" s="9"/>
      <c r="W67" s="34"/>
      <c r="X67" s="9"/>
    </row>
    <row r="68" spans="2:25">
      <c r="D68" s="2" t="s">
        <v>13</v>
      </c>
      <c r="E68">
        <v>24603.599999999999</v>
      </c>
      <c r="F68">
        <v>78.7</v>
      </c>
      <c r="G68">
        <v>1.91</v>
      </c>
      <c r="H68">
        <v>12.4</v>
      </c>
      <c r="I68">
        <v>15.3</v>
      </c>
      <c r="J68">
        <v>11.1</v>
      </c>
      <c r="K68">
        <v>31.5</v>
      </c>
      <c r="L68" s="24">
        <v>3</v>
      </c>
      <c r="N68" s="9"/>
      <c r="O68" s="9"/>
      <c r="Q68" s="9"/>
      <c r="R68" s="9"/>
      <c r="S68" s="9"/>
      <c r="T68" s="9"/>
      <c r="U68" s="9"/>
      <c r="V68" s="9"/>
      <c r="W68" s="34"/>
      <c r="X68" s="9"/>
    </row>
    <row r="69" spans="2:25">
      <c r="D69" s="2" t="s">
        <v>15</v>
      </c>
      <c r="E69">
        <v>21398.400000000001</v>
      </c>
      <c r="F69">
        <v>78</v>
      </c>
      <c r="G69">
        <v>1.44</v>
      </c>
      <c r="H69">
        <v>18.3</v>
      </c>
      <c r="I69">
        <v>16.28</v>
      </c>
      <c r="J69">
        <v>9.7999999999999989</v>
      </c>
      <c r="K69">
        <v>20.9</v>
      </c>
      <c r="L69" s="24">
        <v>0</v>
      </c>
      <c r="N69" s="9"/>
      <c r="O69" s="9"/>
      <c r="Q69" s="9"/>
      <c r="R69" s="9"/>
      <c r="S69" s="9"/>
      <c r="T69" s="9"/>
      <c r="U69" s="9"/>
      <c r="V69" s="9"/>
      <c r="W69" s="34"/>
      <c r="X69" s="9"/>
    </row>
    <row r="70" spans="2:25">
      <c r="D70" s="2" t="s">
        <v>16</v>
      </c>
      <c r="E70">
        <v>20741.2</v>
      </c>
      <c r="F70">
        <v>74.599999999999994</v>
      </c>
      <c r="G70">
        <v>0.64</v>
      </c>
      <c r="H70">
        <v>13.8</v>
      </c>
      <c r="I70">
        <v>6.55</v>
      </c>
      <c r="J70">
        <v>7.1</v>
      </c>
      <c r="K70">
        <v>15.100000000000001</v>
      </c>
      <c r="L70" s="24">
        <v>10</v>
      </c>
      <c r="N70" s="9"/>
      <c r="O70" s="9"/>
      <c r="Q70" s="9"/>
      <c r="R70" s="9"/>
      <c r="S70" s="9"/>
      <c r="T70" s="9"/>
      <c r="U70" s="9"/>
      <c r="V70" s="9"/>
      <c r="W70" s="34"/>
      <c r="X70" s="9"/>
    </row>
    <row r="71" spans="2:25">
      <c r="D71" s="2" t="s">
        <v>17</v>
      </c>
      <c r="E71">
        <v>17354</v>
      </c>
      <c r="F71">
        <v>74.8</v>
      </c>
      <c r="G71">
        <v>1.04</v>
      </c>
      <c r="H71">
        <v>15.6</v>
      </c>
      <c r="I71">
        <v>9.5299999999999994</v>
      </c>
      <c r="J71">
        <v>6.2999999999999989</v>
      </c>
      <c r="K71">
        <v>14.5</v>
      </c>
      <c r="L71" s="24">
        <v>8.6</v>
      </c>
      <c r="N71" s="9"/>
      <c r="O71" s="9"/>
      <c r="Q71" s="9"/>
      <c r="R71" s="9"/>
      <c r="S71" s="9"/>
      <c r="T71" s="9"/>
      <c r="U71" s="9"/>
      <c r="V71" s="9"/>
      <c r="W71" s="34"/>
      <c r="X71" s="9"/>
    </row>
    <row r="72" spans="2:25">
      <c r="B72" s="31"/>
      <c r="D72" s="2" t="s">
        <v>18</v>
      </c>
      <c r="E72">
        <v>19368.900000000001</v>
      </c>
      <c r="F72">
        <v>75.7</v>
      </c>
      <c r="G72">
        <v>1.34</v>
      </c>
      <c r="H72">
        <v>21.9</v>
      </c>
      <c r="I72">
        <v>14.48</v>
      </c>
      <c r="J72">
        <v>9.6</v>
      </c>
      <c r="K72">
        <v>13.899999999999999</v>
      </c>
      <c r="L72" s="24">
        <v>8.3999999999999986</v>
      </c>
      <c r="N72" s="19"/>
      <c r="O72" s="19"/>
      <c r="Q72" s="9"/>
      <c r="R72" s="9"/>
      <c r="S72" s="9"/>
      <c r="T72" s="9"/>
      <c r="U72" s="9"/>
      <c r="V72" s="9"/>
      <c r="W72" s="34"/>
      <c r="X72" s="9"/>
    </row>
    <row r="73" spans="2:25">
      <c r="B73" s="31"/>
      <c r="D73" s="2" t="s">
        <v>19</v>
      </c>
      <c r="E73">
        <v>19407.599999999999</v>
      </c>
      <c r="F73">
        <v>77.5</v>
      </c>
      <c r="G73">
        <v>1</v>
      </c>
      <c r="H73">
        <v>15.2</v>
      </c>
      <c r="I73">
        <v>7.92</v>
      </c>
      <c r="J73">
        <v>8.5</v>
      </c>
      <c r="K73">
        <v>22</v>
      </c>
      <c r="L73" s="24">
        <v>5</v>
      </c>
      <c r="Q73" s="9"/>
      <c r="R73" s="9"/>
      <c r="S73" s="9"/>
      <c r="T73" s="9"/>
      <c r="U73" s="9"/>
      <c r="V73" s="9"/>
      <c r="W73" s="34"/>
      <c r="X73" s="9"/>
    </row>
    <row r="74" spans="2:25">
      <c r="B74" s="31"/>
      <c r="D74" s="2" t="s">
        <v>20</v>
      </c>
      <c r="E74">
        <v>15543.4</v>
      </c>
      <c r="F74">
        <v>74.900000000000006</v>
      </c>
      <c r="G74">
        <v>0.49</v>
      </c>
      <c r="H74">
        <v>25.5</v>
      </c>
      <c r="I74">
        <v>6.43</v>
      </c>
      <c r="J74">
        <v>7.7999999999999989</v>
      </c>
      <c r="K74">
        <v>0</v>
      </c>
      <c r="L74" s="24">
        <v>10.7</v>
      </c>
      <c r="Q74" s="9"/>
      <c r="R74" s="9"/>
      <c r="S74" s="9"/>
      <c r="T74" s="9"/>
      <c r="U74" s="9"/>
      <c r="V74" s="9"/>
      <c r="W74" s="34"/>
      <c r="X74" s="9"/>
    </row>
    <row r="75" spans="2:25">
      <c r="B75" s="31"/>
      <c r="D75" s="2" t="s">
        <v>21</v>
      </c>
      <c r="E75">
        <v>21683</v>
      </c>
      <c r="F75">
        <v>76.7</v>
      </c>
      <c r="G75">
        <v>1.1499999999999999</v>
      </c>
      <c r="H75">
        <v>14.6</v>
      </c>
      <c r="I75">
        <v>5.35</v>
      </c>
      <c r="J75">
        <v>7.1999999999999993</v>
      </c>
      <c r="K75">
        <v>27.2</v>
      </c>
      <c r="L75" s="24">
        <v>7.6999999999999993</v>
      </c>
      <c r="N75" s="19"/>
      <c r="O75" s="19"/>
      <c r="Q75" s="9"/>
      <c r="R75" s="9"/>
      <c r="S75" s="9"/>
      <c r="T75" s="9"/>
      <c r="U75" s="9"/>
      <c r="V75" s="9"/>
      <c r="W75" s="34"/>
      <c r="X75" s="9"/>
    </row>
    <row r="76" spans="2:25" ht="15.75" thickBot="1">
      <c r="B76" s="31"/>
      <c r="D76" s="3" t="s">
        <v>22</v>
      </c>
      <c r="E76" s="25">
        <v>22534.1</v>
      </c>
      <c r="F76" s="25">
        <v>80.900000000000006</v>
      </c>
      <c r="G76" s="25">
        <v>2.1475</v>
      </c>
      <c r="H76" s="25">
        <v>17.399999999999999</v>
      </c>
      <c r="I76" s="25">
        <v>9.91</v>
      </c>
      <c r="J76" s="25">
        <v>4.6999999999999993</v>
      </c>
      <c r="K76" s="25">
        <v>26.8</v>
      </c>
      <c r="L76" s="26">
        <v>5.7999999999999989</v>
      </c>
      <c r="N76" s="19"/>
      <c r="O76" s="19"/>
      <c r="P76" s="19"/>
    </row>
    <row r="77" spans="2:25" ht="15.75" thickTop="1">
      <c r="B77" s="31"/>
      <c r="C77" s="31" t="s">
        <v>51</v>
      </c>
      <c r="E77" s="19">
        <f>AVERAGE(E54:E76)</f>
        <v>25088.963181818184</v>
      </c>
      <c r="F77" s="19">
        <f t="shared" ref="F77:L77" si="113">AVERAGE(F54:F76)</f>
        <v>77.377272727272739</v>
      </c>
      <c r="G77" s="19">
        <f t="shared" si="113"/>
        <v>1.2385227272727273</v>
      </c>
      <c r="H77" s="19">
        <f t="shared" si="113"/>
        <v>16.877272727272729</v>
      </c>
      <c r="I77" s="19">
        <f t="shared" si="113"/>
        <v>9.2013636363636362</v>
      </c>
      <c r="J77" s="19">
        <f t="shared" si="113"/>
        <v>4.6011363636363631</v>
      </c>
      <c r="K77" s="19">
        <f t="shared" si="113"/>
        <v>14.05</v>
      </c>
      <c r="L77" s="19">
        <f t="shared" si="113"/>
        <v>5.0590909090909086</v>
      </c>
    </row>
    <row r="78" spans="2:25">
      <c r="B78" s="31"/>
      <c r="C78" s="31" t="s">
        <v>52</v>
      </c>
      <c r="E78">
        <f>_xlfn.STDEV.P(E54:E76)</f>
        <v>6524.6086549737083</v>
      </c>
      <c r="F78">
        <f t="shared" ref="F78:L78" si="114">_xlfn.STDEV.P(F54:F76)</f>
        <v>1.9833240734094093</v>
      </c>
      <c r="G78">
        <f t="shared" si="114"/>
        <v>0.486626057602772</v>
      </c>
      <c r="H78">
        <f t="shared" si="114"/>
        <v>3.6960583203512858</v>
      </c>
      <c r="I78">
        <f t="shared" si="114"/>
        <v>3.4709378421591253</v>
      </c>
      <c r="J78">
        <f t="shared" si="114"/>
        <v>3.3560366003998148</v>
      </c>
      <c r="K78">
        <f t="shared" si="114"/>
        <v>8.7853571355978435</v>
      </c>
      <c r="L78">
        <f t="shared" si="114"/>
        <v>3.1747095917163102</v>
      </c>
      <c r="Q78" s="31"/>
    </row>
    <row r="79" spans="2:25">
      <c r="B79" s="31"/>
      <c r="C79" s="31" t="s">
        <v>53</v>
      </c>
      <c r="E79">
        <f t="shared" ref="E79:L79" si="115">E78/E77</f>
        <v>0.26005891944159937</v>
      </c>
      <c r="F79">
        <f t="shared" si="115"/>
        <v>2.5631868422138871E-2</v>
      </c>
      <c r="G79">
        <f t="shared" si="115"/>
        <v>0.39290846012518521</v>
      </c>
      <c r="H79">
        <f t="shared" si="115"/>
        <v>0.21899618380750951</v>
      </c>
      <c r="I79">
        <f t="shared" si="115"/>
        <v>0.37721994036210421</v>
      </c>
      <c r="J79">
        <f t="shared" si="115"/>
        <v>0.72939298798514129</v>
      </c>
      <c r="K79">
        <f t="shared" si="115"/>
        <v>0.62529232281835179</v>
      </c>
      <c r="L79">
        <f t="shared" si="115"/>
        <v>0.62752570546054653</v>
      </c>
      <c r="Q79" s="31"/>
    </row>
    <row r="80" spans="2:25">
      <c r="B80" s="31"/>
      <c r="C80" s="31" t="s">
        <v>54</v>
      </c>
      <c r="E80" s="19">
        <f>MIN(E54:E76)</f>
        <v>13586</v>
      </c>
      <c r="F80" s="19">
        <f t="shared" ref="F80:L80" si="116">MIN(F54:F76)</f>
        <v>74.599999999999994</v>
      </c>
      <c r="G80" s="19">
        <f t="shared" si="116"/>
        <v>0.49</v>
      </c>
      <c r="H80" s="19">
        <f t="shared" si="116"/>
        <v>11.6</v>
      </c>
      <c r="I80" s="19">
        <f t="shared" si="116"/>
        <v>3.94</v>
      </c>
      <c r="J80" s="19">
        <f t="shared" si="116"/>
        <v>0</v>
      </c>
      <c r="K80" s="19">
        <f t="shared" si="116"/>
        <v>0</v>
      </c>
      <c r="L80" s="19">
        <f t="shared" si="116"/>
        <v>0</v>
      </c>
      <c r="P80" s="31"/>
      <c r="R80" s="19"/>
      <c r="S80" s="19"/>
      <c r="T80" s="19"/>
      <c r="U80" s="19"/>
      <c r="V80" s="19"/>
      <c r="W80" s="19"/>
      <c r="X80" s="19"/>
      <c r="Y80" s="19"/>
    </row>
    <row r="81" spans="2:25">
      <c r="B81" s="31"/>
      <c r="C81" s="31" t="s">
        <v>55</v>
      </c>
      <c r="E81" s="19">
        <f>MAX(E54:E76)</f>
        <v>35052.199999999997</v>
      </c>
      <c r="F81" s="19">
        <f t="shared" ref="F81:K81" si="117">MAX(F54:F76)</f>
        <v>82</v>
      </c>
      <c r="G81" s="19">
        <f t="shared" si="117"/>
        <v>2.1475</v>
      </c>
      <c r="H81" s="19">
        <f t="shared" si="117"/>
        <v>25.5</v>
      </c>
      <c r="I81" s="19">
        <f t="shared" si="117"/>
        <v>16.28</v>
      </c>
      <c r="J81" s="19">
        <f t="shared" si="117"/>
        <v>11.1</v>
      </c>
      <c r="K81" s="19">
        <f t="shared" si="117"/>
        <v>31.5</v>
      </c>
      <c r="L81" s="19">
        <f>MAX(L54:L76)</f>
        <v>10.7</v>
      </c>
      <c r="P81" s="31"/>
    </row>
    <row r="82" spans="2:25">
      <c r="B82" s="31"/>
      <c r="C82" s="31" t="s">
        <v>56</v>
      </c>
      <c r="E82" s="19">
        <f t="shared" ref="E82:L82" si="118">E81-E80</f>
        <v>21466.199999999997</v>
      </c>
      <c r="F82">
        <f t="shared" si="118"/>
        <v>7.4000000000000057</v>
      </c>
      <c r="G82">
        <f t="shared" si="118"/>
        <v>1.6575</v>
      </c>
      <c r="H82">
        <f t="shared" si="118"/>
        <v>13.9</v>
      </c>
      <c r="I82">
        <f t="shared" si="118"/>
        <v>12.340000000000002</v>
      </c>
      <c r="J82">
        <f t="shared" si="118"/>
        <v>11.1</v>
      </c>
      <c r="K82">
        <f t="shared" si="118"/>
        <v>31.5</v>
      </c>
      <c r="L82" s="19">
        <f t="shared" si="118"/>
        <v>10.7</v>
      </c>
      <c r="P82" s="31"/>
    </row>
    <row r="83" spans="2:25">
      <c r="B83" s="31"/>
      <c r="P83" s="31"/>
      <c r="R83" s="19"/>
      <c r="S83" s="19"/>
      <c r="T83" s="19"/>
      <c r="U83" s="19"/>
      <c r="V83" s="19"/>
      <c r="W83" s="19"/>
      <c r="X83" s="19"/>
      <c r="Y83" s="19"/>
    </row>
    <row r="84" spans="2:25">
      <c r="B84" s="31"/>
      <c r="P84" s="31"/>
      <c r="R84" s="19"/>
      <c r="S84" s="19"/>
      <c r="T84" s="19"/>
      <c r="U84" s="19"/>
      <c r="V84" s="19"/>
      <c r="W84" s="19"/>
      <c r="X84" s="19"/>
      <c r="Y84" s="19"/>
    </row>
    <row r="85" spans="2:25">
      <c r="P85" s="31"/>
    </row>
    <row r="87" spans="2:25">
      <c r="P87" s="31"/>
    </row>
    <row r="88" spans="2:25">
      <c r="P88" s="31"/>
    </row>
    <row r="89" spans="2:25">
      <c r="P89" s="31"/>
    </row>
    <row r="90" spans="2:25">
      <c r="P90" s="31"/>
    </row>
    <row r="91" spans="2:25">
      <c r="P91" s="31"/>
    </row>
    <row r="92" spans="2:25">
      <c r="P92" s="31"/>
    </row>
  </sheetData>
  <mergeCells count="6">
    <mergeCell ref="A20:A29"/>
    <mergeCell ref="K2:N2"/>
    <mergeCell ref="O2:R2"/>
    <mergeCell ref="S2:Z2"/>
    <mergeCell ref="AA2:AD2"/>
    <mergeCell ref="A4:A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B1098-6B61-45F3-928D-983718D5A288}">
  <dimension ref="A1:Q180"/>
  <sheetViews>
    <sheetView topLeftCell="A52" workbookViewId="0">
      <selection activeCell="K37" sqref="K37"/>
    </sheetView>
  </sheetViews>
  <sheetFormatPr defaultRowHeight="15"/>
  <cols>
    <col min="2" max="2" width="10.140625" customWidth="1"/>
    <col min="3" max="3" width="10" customWidth="1"/>
    <col min="4" max="4" width="9.140625" customWidth="1"/>
    <col min="10" max="10" width="14.140625" customWidth="1"/>
    <col min="11" max="17" width="19.85546875" customWidth="1"/>
  </cols>
  <sheetData>
    <row r="1" spans="1:17">
      <c r="A1" s="36" t="s">
        <v>110</v>
      </c>
    </row>
    <row r="2" spans="1:17" ht="15.75" thickBot="1"/>
    <row r="3" spans="1:17" ht="15.75" thickBot="1">
      <c r="B3" s="232">
        <v>2015</v>
      </c>
      <c r="C3" s="232"/>
      <c r="D3" s="232"/>
      <c r="E3" s="232"/>
      <c r="F3" s="232"/>
      <c r="G3" s="232"/>
    </row>
    <row r="4" spans="1:17" ht="15.75" thickBot="1">
      <c r="B4" s="233" t="s">
        <v>111</v>
      </c>
      <c r="C4" s="233"/>
      <c r="D4" s="233"/>
      <c r="E4" s="233" t="s">
        <v>112</v>
      </c>
      <c r="F4" s="233"/>
      <c r="G4" s="233"/>
      <c r="L4" s="236" t="s">
        <v>111</v>
      </c>
      <c r="M4" s="236"/>
      <c r="N4" s="236"/>
      <c r="O4" s="237" t="s">
        <v>112</v>
      </c>
      <c r="P4" s="237"/>
      <c r="Q4" s="237"/>
    </row>
    <row r="5" spans="1:17" ht="15.75" thickBot="1">
      <c r="B5" s="76" t="s">
        <v>113</v>
      </c>
      <c r="C5" s="68" t="s">
        <v>114</v>
      </c>
      <c r="D5" s="77" t="s">
        <v>90</v>
      </c>
      <c r="E5" s="76" t="s">
        <v>113</v>
      </c>
      <c r="F5" s="68" t="s">
        <v>114</v>
      </c>
      <c r="G5" s="77" t="s">
        <v>90</v>
      </c>
      <c r="K5" s="78"/>
      <c r="L5" s="137" t="s">
        <v>113</v>
      </c>
      <c r="M5" s="138" t="s">
        <v>114</v>
      </c>
      <c r="N5" s="138" t="s">
        <v>90</v>
      </c>
      <c r="O5" s="138" t="s">
        <v>113</v>
      </c>
      <c r="P5" s="138" t="s">
        <v>114</v>
      </c>
      <c r="Q5" s="139" t="s">
        <v>90</v>
      </c>
    </row>
    <row r="6" spans="1:17" ht="17.25" thickTop="1" thickBot="1">
      <c r="A6" s="1" t="s">
        <v>11</v>
      </c>
      <c r="B6" s="44">
        <v>11</v>
      </c>
      <c r="C6" s="22">
        <v>11</v>
      </c>
      <c r="D6" s="22">
        <v>11</v>
      </c>
      <c r="E6" s="112">
        <v>11</v>
      </c>
      <c r="F6" s="113">
        <v>11</v>
      </c>
      <c r="G6" s="114">
        <v>11</v>
      </c>
      <c r="J6" s="234" t="s">
        <v>111</v>
      </c>
      <c r="K6" s="170" t="s">
        <v>113</v>
      </c>
      <c r="L6">
        <v>1</v>
      </c>
      <c r="M6">
        <v>0.9818181818181817</v>
      </c>
      <c r="N6">
        <v>0.90909090909090906</v>
      </c>
      <c r="O6">
        <v>0.9690874237046978</v>
      </c>
      <c r="P6">
        <v>0.9690874237046978</v>
      </c>
      <c r="Q6" s="79">
        <v>0.9036961141150639</v>
      </c>
    </row>
    <row r="7" spans="1:17" ht="15.75" thickBot="1">
      <c r="A7" s="2" t="s">
        <v>12</v>
      </c>
      <c r="B7" s="45">
        <v>8</v>
      </c>
      <c r="C7">
        <v>9</v>
      </c>
      <c r="D7">
        <v>8</v>
      </c>
      <c r="E7" s="85">
        <v>7</v>
      </c>
      <c r="F7">
        <v>7</v>
      </c>
      <c r="G7" s="79">
        <v>7</v>
      </c>
      <c r="J7" s="234"/>
      <c r="K7" s="171" t="s">
        <v>114</v>
      </c>
      <c r="L7">
        <v>0.9818181818181817</v>
      </c>
      <c r="M7">
        <v>1</v>
      </c>
      <c r="N7">
        <v>0.93636363636363618</v>
      </c>
      <c r="O7">
        <v>0.9690874237046978</v>
      </c>
      <c r="P7">
        <v>0.9690874237046978</v>
      </c>
      <c r="Q7" s="79">
        <v>0.93597097533345908</v>
      </c>
    </row>
    <row r="8" spans="1:17">
      <c r="A8" s="2" t="s">
        <v>13</v>
      </c>
      <c r="B8" s="45">
        <v>3</v>
      </c>
      <c r="C8">
        <v>2</v>
      </c>
      <c r="D8">
        <v>1</v>
      </c>
      <c r="E8" s="85">
        <v>2</v>
      </c>
      <c r="F8">
        <v>2</v>
      </c>
      <c r="G8" s="79">
        <v>1</v>
      </c>
      <c r="J8" s="234"/>
      <c r="K8" s="171" t="s">
        <v>90</v>
      </c>
      <c r="L8">
        <v>0.90909090909090906</v>
      </c>
      <c r="M8">
        <v>0.93636363636363618</v>
      </c>
      <c r="N8">
        <v>1</v>
      </c>
      <c r="O8">
        <v>0.88833013839597297</v>
      </c>
      <c r="P8">
        <v>0.88833013839597297</v>
      </c>
      <c r="Q8" s="79">
        <v>0.93597097533345908</v>
      </c>
    </row>
    <row r="9" spans="1:17" ht="15.75" thickBot="1">
      <c r="A9" s="2" t="s">
        <v>15</v>
      </c>
      <c r="B9" s="45">
        <v>4</v>
      </c>
      <c r="C9">
        <v>4</v>
      </c>
      <c r="D9">
        <v>4</v>
      </c>
      <c r="E9" s="85">
        <v>4</v>
      </c>
      <c r="F9">
        <v>4</v>
      </c>
      <c r="G9" s="79">
        <v>4</v>
      </c>
      <c r="J9" s="235" t="s">
        <v>112</v>
      </c>
      <c r="K9" s="171" t="s">
        <v>113</v>
      </c>
      <c r="L9">
        <v>0.9690874237046978</v>
      </c>
      <c r="M9">
        <v>0.9690874237046978</v>
      </c>
      <c r="N9">
        <v>0.88833013839597297</v>
      </c>
      <c r="O9">
        <v>1</v>
      </c>
      <c r="P9">
        <v>1</v>
      </c>
      <c r="Q9" s="79">
        <v>0.87749815915685614</v>
      </c>
    </row>
    <row r="10" spans="1:17" ht="15.75" thickBot="1">
      <c r="A10" s="2" t="s">
        <v>16</v>
      </c>
      <c r="B10" s="45">
        <v>9</v>
      </c>
      <c r="C10">
        <v>8</v>
      </c>
      <c r="D10">
        <v>10</v>
      </c>
      <c r="E10" s="85">
        <v>9</v>
      </c>
      <c r="F10">
        <v>9</v>
      </c>
      <c r="G10" s="79">
        <v>10</v>
      </c>
      <c r="J10" s="235"/>
      <c r="K10" s="171" t="s">
        <v>114</v>
      </c>
      <c r="L10">
        <v>0.9690874237046978</v>
      </c>
      <c r="M10">
        <v>0.9690874237046978</v>
      </c>
      <c r="N10">
        <v>0.88833013839597297</v>
      </c>
      <c r="O10">
        <v>1</v>
      </c>
      <c r="P10">
        <v>1</v>
      </c>
      <c r="Q10" s="79">
        <v>0.87749815915685614</v>
      </c>
    </row>
    <row r="11" spans="1:17" ht="15.75" thickBot="1">
      <c r="A11" s="2" t="s">
        <v>17</v>
      </c>
      <c r="B11" s="45">
        <v>7</v>
      </c>
      <c r="C11">
        <v>7</v>
      </c>
      <c r="D11">
        <v>9</v>
      </c>
      <c r="E11" s="85">
        <v>8</v>
      </c>
      <c r="F11">
        <v>8</v>
      </c>
      <c r="G11" s="79">
        <v>8</v>
      </c>
      <c r="J11" s="235"/>
      <c r="K11" s="166" t="s">
        <v>90</v>
      </c>
      <c r="L11" s="37">
        <v>0.9036961141150639</v>
      </c>
      <c r="M11" s="37">
        <v>0.93597097533345908</v>
      </c>
      <c r="N11" s="37">
        <v>0.93597097533345908</v>
      </c>
      <c r="O11" s="37">
        <v>0.87749815915685614</v>
      </c>
      <c r="P11" s="37">
        <v>0.87749815915685614</v>
      </c>
      <c r="Q11" s="80">
        <v>1</v>
      </c>
    </row>
    <row r="12" spans="1:17">
      <c r="A12" s="2" t="s">
        <v>18</v>
      </c>
      <c r="B12" s="45">
        <v>2</v>
      </c>
      <c r="C12">
        <v>1</v>
      </c>
      <c r="D12">
        <v>3</v>
      </c>
      <c r="E12" s="85">
        <v>3</v>
      </c>
      <c r="F12">
        <v>3</v>
      </c>
      <c r="G12" s="79">
        <v>3</v>
      </c>
      <c r="L12">
        <f>SUM(L6:L11)</f>
        <v>5.7327800524335508</v>
      </c>
      <c r="M12" s="32">
        <f t="shared" ref="M12:Q12" si="0">SUM(M6:M11)</f>
        <v>5.7923276409246736</v>
      </c>
      <c r="N12">
        <f t="shared" si="0"/>
        <v>5.5580857975799507</v>
      </c>
      <c r="O12">
        <f t="shared" si="0"/>
        <v>5.7040031449622246</v>
      </c>
      <c r="P12">
        <f t="shared" si="0"/>
        <v>5.7040031449622246</v>
      </c>
      <c r="Q12">
        <f t="shared" si="0"/>
        <v>5.5306343830956948</v>
      </c>
    </row>
    <row r="13" spans="1:17">
      <c r="A13" s="2" t="s">
        <v>19</v>
      </c>
      <c r="B13" s="45">
        <v>6</v>
      </c>
      <c r="C13">
        <v>5</v>
      </c>
      <c r="D13">
        <v>6</v>
      </c>
      <c r="E13" s="85">
        <v>5</v>
      </c>
      <c r="F13">
        <v>5</v>
      </c>
      <c r="G13" s="79">
        <v>6</v>
      </c>
    </row>
    <row r="14" spans="1:17">
      <c r="A14" s="2" t="s">
        <v>20</v>
      </c>
      <c r="B14" s="45">
        <v>10</v>
      </c>
      <c r="C14">
        <v>10</v>
      </c>
      <c r="D14">
        <v>7</v>
      </c>
      <c r="E14" s="85">
        <v>10</v>
      </c>
      <c r="F14">
        <v>10</v>
      </c>
      <c r="G14" s="79">
        <v>9</v>
      </c>
      <c r="L14" s="143" t="s">
        <v>115</v>
      </c>
    </row>
    <row r="15" spans="1:17">
      <c r="A15" s="2" t="s">
        <v>21</v>
      </c>
      <c r="B15" s="45">
        <v>5</v>
      </c>
      <c r="C15">
        <v>6</v>
      </c>
      <c r="D15">
        <v>5</v>
      </c>
      <c r="E15" s="85">
        <v>6</v>
      </c>
      <c r="F15">
        <v>6</v>
      </c>
      <c r="G15" s="79">
        <v>5</v>
      </c>
    </row>
    <row r="16" spans="1:17" ht="15.75" thickBot="1">
      <c r="A16" s="3" t="s">
        <v>22</v>
      </c>
      <c r="B16" s="46">
        <v>1</v>
      </c>
      <c r="C16" s="25">
        <v>3</v>
      </c>
      <c r="D16" s="25">
        <v>2</v>
      </c>
      <c r="E16" s="90">
        <v>1</v>
      </c>
      <c r="F16" s="37">
        <v>1</v>
      </c>
      <c r="G16" s="80">
        <v>2</v>
      </c>
      <c r="L16" s="213"/>
      <c r="M16" s="213"/>
      <c r="N16" s="213"/>
    </row>
    <row r="17" spans="1:17" ht="15.75" thickTop="1">
      <c r="J17" s="238"/>
      <c r="K17" s="78"/>
      <c r="L17" s="78"/>
      <c r="M17" s="78"/>
      <c r="N17" s="78"/>
      <c r="O17" s="78"/>
      <c r="P17" s="78"/>
      <c r="Q17" s="78"/>
    </row>
    <row r="18" spans="1:17" ht="15.75" thickBot="1">
      <c r="J18" s="238"/>
    </row>
    <row r="19" spans="1:17" ht="15.75" thickBot="1">
      <c r="B19" s="232">
        <v>2023</v>
      </c>
      <c r="C19" s="232"/>
      <c r="D19" s="232"/>
      <c r="E19" s="232"/>
      <c r="F19" s="232"/>
      <c r="G19" s="232"/>
      <c r="J19" s="238"/>
      <c r="K19" s="56"/>
      <c r="L19" s="236" t="s">
        <v>111</v>
      </c>
      <c r="M19" s="236"/>
      <c r="N19" s="236"/>
      <c r="O19" s="237" t="s">
        <v>112</v>
      </c>
      <c r="P19" s="237"/>
      <c r="Q19" s="237"/>
    </row>
    <row r="20" spans="1:17" ht="15.75" thickBot="1">
      <c r="B20" s="233" t="s">
        <v>111</v>
      </c>
      <c r="C20" s="233"/>
      <c r="D20" s="233"/>
      <c r="E20" s="233" t="s">
        <v>112</v>
      </c>
      <c r="F20" s="233"/>
      <c r="G20" s="233"/>
      <c r="L20" s="167" t="s">
        <v>113</v>
      </c>
      <c r="M20" s="168" t="s">
        <v>114</v>
      </c>
      <c r="N20" s="168" t="s">
        <v>90</v>
      </c>
      <c r="O20" s="168" t="s">
        <v>113</v>
      </c>
      <c r="P20" s="168" t="s">
        <v>114</v>
      </c>
      <c r="Q20" s="169" t="s">
        <v>90</v>
      </c>
    </row>
    <row r="21" spans="1:17" ht="15.75" thickBot="1">
      <c r="B21" s="76" t="s">
        <v>113</v>
      </c>
      <c r="C21" s="68" t="s">
        <v>114</v>
      </c>
      <c r="D21" s="77" t="s">
        <v>90</v>
      </c>
      <c r="E21" s="76" t="s">
        <v>113</v>
      </c>
      <c r="F21" s="68" t="s">
        <v>114</v>
      </c>
      <c r="G21" s="77" t="s">
        <v>90</v>
      </c>
      <c r="J21" s="234" t="s">
        <v>111</v>
      </c>
      <c r="K21" s="170" t="s">
        <v>113</v>
      </c>
      <c r="L21" s="112">
        <v>1</v>
      </c>
      <c r="M21" s="113">
        <v>0.9818181818181817</v>
      </c>
      <c r="N21" s="113">
        <v>0.93636363636363618</v>
      </c>
      <c r="O21" s="113">
        <v>0.89442719099991586</v>
      </c>
      <c r="P21" s="113">
        <v>0.88833013839597308</v>
      </c>
      <c r="Q21" s="114">
        <v>0.87333376460937284</v>
      </c>
    </row>
    <row r="22" spans="1:17" ht="17.25" thickTop="1" thickBot="1">
      <c r="A22" s="1" t="s">
        <v>11</v>
      </c>
      <c r="B22" s="44">
        <v>11</v>
      </c>
      <c r="C22" s="22">
        <v>11</v>
      </c>
      <c r="D22" s="22">
        <v>10</v>
      </c>
      <c r="E22" s="112">
        <v>11</v>
      </c>
      <c r="F22" s="113">
        <v>11</v>
      </c>
      <c r="G22" s="114">
        <v>11</v>
      </c>
      <c r="J22" s="234"/>
      <c r="K22" s="171" t="s">
        <v>114</v>
      </c>
      <c r="L22" s="85">
        <v>0.9818181818181817</v>
      </c>
      <c r="M22">
        <v>1</v>
      </c>
      <c r="N22">
        <v>0.8999999999999998</v>
      </c>
      <c r="O22">
        <v>0.86958199124991808</v>
      </c>
      <c r="P22">
        <v>0.88833013839597319</v>
      </c>
      <c r="Q22" s="79">
        <v>0.84422263912239381</v>
      </c>
    </row>
    <row r="23" spans="1:17">
      <c r="A23" s="2" t="s">
        <v>12</v>
      </c>
      <c r="B23" s="45">
        <v>6</v>
      </c>
      <c r="C23">
        <v>7</v>
      </c>
      <c r="D23">
        <v>7</v>
      </c>
      <c r="E23" s="85">
        <v>5</v>
      </c>
      <c r="F23">
        <v>5</v>
      </c>
      <c r="G23" s="79">
        <v>7</v>
      </c>
      <c r="J23" s="234"/>
      <c r="K23" s="171" t="s">
        <v>90</v>
      </c>
      <c r="L23" s="85">
        <v>0.93636363636363618</v>
      </c>
      <c r="M23">
        <v>0.8999999999999998</v>
      </c>
      <c r="N23">
        <v>1</v>
      </c>
      <c r="O23">
        <v>0.94411759049991106</v>
      </c>
      <c r="P23">
        <v>0.94216832860178956</v>
      </c>
      <c r="Q23" s="79">
        <v>0.96066714107031026</v>
      </c>
    </row>
    <row r="24" spans="1:17" ht="15.75" thickBot="1">
      <c r="A24" s="2" t="s">
        <v>13</v>
      </c>
      <c r="B24" s="45">
        <v>2</v>
      </c>
      <c r="C24">
        <v>3</v>
      </c>
      <c r="D24">
        <v>1</v>
      </c>
      <c r="E24" s="85">
        <v>2</v>
      </c>
      <c r="F24">
        <v>2</v>
      </c>
      <c r="G24" s="79">
        <v>2</v>
      </c>
      <c r="J24" s="235" t="s">
        <v>112</v>
      </c>
      <c r="K24" s="171" t="s">
        <v>113</v>
      </c>
      <c r="L24" s="85">
        <v>0.89442719099991586</v>
      </c>
      <c r="M24">
        <v>0.86958199124991808</v>
      </c>
      <c r="N24">
        <v>0.94411759049991106</v>
      </c>
      <c r="O24">
        <v>1</v>
      </c>
      <c r="P24">
        <v>0.96977492763536322</v>
      </c>
      <c r="Q24" s="79">
        <v>0.89685694231234181</v>
      </c>
    </row>
    <row r="25" spans="1:17" ht="15.75" thickBot="1">
      <c r="A25" s="2" t="s">
        <v>15</v>
      </c>
      <c r="B25" s="45">
        <v>4</v>
      </c>
      <c r="C25">
        <v>5</v>
      </c>
      <c r="D25">
        <v>6</v>
      </c>
      <c r="E25" s="85">
        <v>6</v>
      </c>
      <c r="F25">
        <v>7</v>
      </c>
      <c r="G25" s="79">
        <v>4</v>
      </c>
      <c r="J25" s="235"/>
      <c r="K25" s="171" t="s">
        <v>114</v>
      </c>
      <c r="L25" s="85">
        <v>0.88833013839597308</v>
      </c>
      <c r="M25">
        <v>0.88833013839597319</v>
      </c>
      <c r="N25">
        <v>0.94216832860178956</v>
      </c>
      <c r="O25">
        <v>0.96977492763536322</v>
      </c>
      <c r="P25">
        <v>1</v>
      </c>
      <c r="Q25" s="79">
        <v>0.93253773508865812</v>
      </c>
    </row>
    <row r="26" spans="1:17" ht="15.75" thickBot="1">
      <c r="A26" s="2" t="s">
        <v>16</v>
      </c>
      <c r="B26" s="45">
        <v>9</v>
      </c>
      <c r="C26">
        <v>9</v>
      </c>
      <c r="D26">
        <v>9</v>
      </c>
      <c r="E26" s="85">
        <v>9</v>
      </c>
      <c r="F26">
        <v>9</v>
      </c>
      <c r="G26" s="79">
        <v>9</v>
      </c>
      <c r="J26" s="235"/>
      <c r="K26" s="166" t="s">
        <v>90</v>
      </c>
      <c r="L26" s="90">
        <v>0.87333376460937284</v>
      </c>
      <c r="M26" s="37">
        <v>0.84422263912239381</v>
      </c>
      <c r="N26" s="37">
        <v>0.96066714107031026</v>
      </c>
      <c r="O26" s="37">
        <v>0.89685694231234181</v>
      </c>
      <c r="P26" s="37">
        <v>0.93253773508865812</v>
      </c>
      <c r="Q26" s="80">
        <v>1</v>
      </c>
    </row>
    <row r="27" spans="1:17">
      <c r="A27" s="2" t="s">
        <v>17</v>
      </c>
      <c r="B27" s="45">
        <v>10</v>
      </c>
      <c r="C27">
        <v>10</v>
      </c>
      <c r="D27">
        <v>11</v>
      </c>
      <c r="E27" s="85">
        <v>10</v>
      </c>
      <c r="F27">
        <v>10</v>
      </c>
      <c r="G27" s="79">
        <v>10</v>
      </c>
      <c r="L27">
        <f>SUM(L21:L26)</f>
        <v>5.5742729121870793</v>
      </c>
      <c r="M27">
        <f t="shared" ref="M27:P27" si="1">SUM(M21:M26)</f>
        <v>5.4839529505864659</v>
      </c>
      <c r="N27" s="32">
        <f t="shared" si="1"/>
        <v>5.6833166965356465</v>
      </c>
      <c r="O27">
        <f t="shared" si="1"/>
        <v>5.57475864269745</v>
      </c>
      <c r="P27">
        <f t="shared" si="1"/>
        <v>5.6211412681177571</v>
      </c>
      <c r="Q27">
        <f>SUM(Q21:Q26)</f>
        <v>5.5076182222030772</v>
      </c>
    </row>
    <row r="28" spans="1:17">
      <c r="A28" s="2" t="s">
        <v>18</v>
      </c>
      <c r="B28" s="45">
        <v>3</v>
      </c>
      <c r="C28">
        <v>2</v>
      </c>
      <c r="D28">
        <v>3</v>
      </c>
      <c r="E28" s="85">
        <v>3</v>
      </c>
      <c r="F28">
        <v>3</v>
      </c>
      <c r="G28" s="79">
        <v>3</v>
      </c>
    </row>
    <row r="29" spans="1:17">
      <c r="A29" s="2" t="s">
        <v>19</v>
      </c>
      <c r="B29" s="45">
        <v>7</v>
      </c>
      <c r="C29">
        <v>6</v>
      </c>
      <c r="D29">
        <v>5</v>
      </c>
      <c r="E29" s="85">
        <v>4</v>
      </c>
      <c r="F29">
        <v>4</v>
      </c>
      <c r="G29" s="79">
        <v>5</v>
      </c>
      <c r="L29" s="143" t="s">
        <v>116</v>
      </c>
    </row>
    <row r="30" spans="1:17">
      <c r="A30" s="2" t="s">
        <v>20</v>
      </c>
      <c r="B30" s="45">
        <v>8</v>
      </c>
      <c r="C30">
        <v>8</v>
      </c>
      <c r="D30">
        <v>8</v>
      </c>
      <c r="E30" s="85">
        <v>8</v>
      </c>
      <c r="F30">
        <v>8</v>
      </c>
      <c r="G30" s="79">
        <v>8</v>
      </c>
    </row>
    <row r="31" spans="1:17">
      <c r="A31" s="2" t="s">
        <v>21</v>
      </c>
      <c r="B31" s="45">
        <v>5</v>
      </c>
      <c r="C31">
        <v>4</v>
      </c>
      <c r="D31">
        <v>4</v>
      </c>
      <c r="E31" s="85">
        <v>7</v>
      </c>
      <c r="F31">
        <v>6</v>
      </c>
      <c r="G31" s="79">
        <v>6</v>
      </c>
    </row>
    <row r="32" spans="1:17" ht="15.75" thickBot="1">
      <c r="A32" s="3" t="s">
        <v>22</v>
      </c>
      <c r="B32" s="46">
        <v>1</v>
      </c>
      <c r="C32" s="25">
        <v>1</v>
      </c>
      <c r="D32" s="25">
        <v>2</v>
      </c>
      <c r="E32" s="90">
        <v>1</v>
      </c>
      <c r="F32" s="37">
        <v>1</v>
      </c>
      <c r="G32" s="80">
        <v>1</v>
      </c>
    </row>
    <row r="33" spans="1:17" ht="15.75" thickTop="1"/>
    <row r="35" spans="1:17">
      <c r="A35" s="36" t="s">
        <v>117</v>
      </c>
    </row>
    <row r="37" spans="1:17" ht="15.75" thickBot="1"/>
    <row r="38" spans="1:17" ht="15.75" thickBot="1">
      <c r="B38" s="232">
        <v>2015</v>
      </c>
      <c r="C38" s="232"/>
      <c r="D38" s="232"/>
      <c r="E38" s="232"/>
      <c r="F38" s="232"/>
      <c r="G38" s="232"/>
      <c r="L38" s="236" t="s">
        <v>111</v>
      </c>
      <c r="M38" s="236"/>
      <c r="N38" s="236"/>
      <c r="O38" s="237" t="s">
        <v>112</v>
      </c>
      <c r="P38" s="237"/>
      <c r="Q38" s="237"/>
    </row>
    <row r="39" spans="1:17" ht="15.75" thickBot="1">
      <c r="B39" s="233" t="s">
        <v>111</v>
      </c>
      <c r="C39" s="233"/>
      <c r="D39" s="233"/>
      <c r="E39" s="233" t="s">
        <v>112</v>
      </c>
      <c r="F39" s="233"/>
      <c r="G39" s="233"/>
      <c r="K39" s="137"/>
      <c r="L39" s="138" t="s">
        <v>113</v>
      </c>
      <c r="M39" s="138" t="s">
        <v>114</v>
      </c>
      <c r="N39" s="138" t="s">
        <v>90</v>
      </c>
      <c r="O39" s="138" t="s">
        <v>113</v>
      </c>
      <c r="P39" s="138" t="s">
        <v>114</v>
      </c>
      <c r="Q39" s="139" t="s">
        <v>90</v>
      </c>
    </row>
    <row r="40" spans="1:17" ht="15.75" thickBot="1">
      <c r="B40" s="76" t="s">
        <v>113</v>
      </c>
      <c r="C40" s="68" t="s">
        <v>114</v>
      </c>
      <c r="D40" s="77" t="s">
        <v>90</v>
      </c>
      <c r="E40" s="76" t="s">
        <v>113</v>
      </c>
      <c r="F40" s="68" t="s">
        <v>114</v>
      </c>
      <c r="G40" s="77" t="s">
        <v>90</v>
      </c>
      <c r="J40" s="234" t="s">
        <v>111</v>
      </c>
      <c r="K40" s="85" t="s">
        <v>113</v>
      </c>
      <c r="L40" s="19">
        <v>1</v>
      </c>
      <c r="M40" s="19">
        <v>0.96523417813168033</v>
      </c>
      <c r="N40" s="19">
        <v>0.83266881717657015</v>
      </c>
      <c r="O40" s="19">
        <v>1</v>
      </c>
      <c r="P40" s="19">
        <v>1</v>
      </c>
      <c r="Q40" s="140">
        <v>0.87749815915685614</v>
      </c>
    </row>
    <row r="41" spans="1:17" ht="17.25" thickTop="1" thickBot="1">
      <c r="A41" s="1" t="s">
        <v>11</v>
      </c>
      <c r="B41" s="44">
        <v>4</v>
      </c>
      <c r="C41" s="22">
        <v>4</v>
      </c>
      <c r="D41" s="22">
        <v>3</v>
      </c>
      <c r="E41" s="112">
        <v>4</v>
      </c>
      <c r="F41" s="113">
        <v>4</v>
      </c>
      <c r="G41" s="114">
        <v>4</v>
      </c>
      <c r="J41" s="234"/>
      <c r="K41" s="85" t="s">
        <v>114</v>
      </c>
      <c r="L41" s="19">
        <v>0.96523417813168033</v>
      </c>
      <c r="M41" s="19">
        <v>1</v>
      </c>
      <c r="N41" s="19">
        <v>0.84632726605601027</v>
      </c>
      <c r="O41" s="19">
        <v>0.96523417813168033</v>
      </c>
      <c r="P41" s="19">
        <v>0.96523417813168033</v>
      </c>
      <c r="Q41" s="140">
        <v>0.91617614039992046</v>
      </c>
    </row>
    <row r="42" spans="1:17">
      <c r="A42" s="2" t="s">
        <v>12</v>
      </c>
      <c r="B42" s="45">
        <v>3</v>
      </c>
      <c r="C42">
        <v>3</v>
      </c>
      <c r="D42">
        <v>3</v>
      </c>
      <c r="E42" s="85">
        <v>3</v>
      </c>
      <c r="F42">
        <v>3</v>
      </c>
      <c r="G42" s="79">
        <v>3</v>
      </c>
      <c r="J42" s="234"/>
      <c r="K42" s="85" t="s">
        <v>90</v>
      </c>
      <c r="L42" s="19">
        <v>0.83266881717657015</v>
      </c>
      <c r="M42" s="19">
        <v>0.84632726605601027</v>
      </c>
      <c r="N42" s="19">
        <v>1</v>
      </c>
      <c r="O42" s="19">
        <v>0.83266881717657015</v>
      </c>
      <c r="P42" s="19">
        <v>0.83266881717657015</v>
      </c>
      <c r="Q42" s="140">
        <v>0.95022231804125923</v>
      </c>
    </row>
    <row r="43" spans="1:17" ht="15.75" thickBot="1">
      <c r="A43" s="2" t="s">
        <v>13</v>
      </c>
      <c r="B43" s="45">
        <v>1</v>
      </c>
      <c r="C43">
        <v>1</v>
      </c>
      <c r="D43">
        <v>1</v>
      </c>
      <c r="E43" s="85">
        <v>1</v>
      </c>
      <c r="F43">
        <v>1</v>
      </c>
      <c r="G43" s="79">
        <v>1</v>
      </c>
      <c r="J43" s="235" t="s">
        <v>112</v>
      </c>
      <c r="K43" s="85" t="s">
        <v>113</v>
      </c>
      <c r="L43" s="19">
        <v>1</v>
      </c>
      <c r="M43" s="19">
        <v>0.96523417813168033</v>
      </c>
      <c r="N43" s="19">
        <v>0.83266881717657015</v>
      </c>
      <c r="O43" s="19">
        <v>1</v>
      </c>
      <c r="P43" s="19">
        <v>1</v>
      </c>
      <c r="Q43" s="140">
        <v>0.87749815915685614</v>
      </c>
    </row>
    <row r="44" spans="1:17" ht="15.75" thickBot="1">
      <c r="A44" s="2" t="s">
        <v>15</v>
      </c>
      <c r="B44" s="45">
        <v>2</v>
      </c>
      <c r="C44">
        <v>2</v>
      </c>
      <c r="D44">
        <v>2</v>
      </c>
      <c r="E44" s="85">
        <v>2</v>
      </c>
      <c r="F44">
        <v>2</v>
      </c>
      <c r="G44" s="79">
        <v>1</v>
      </c>
      <c r="J44" s="235"/>
      <c r="K44" s="85" t="s">
        <v>114</v>
      </c>
      <c r="L44" s="19">
        <v>1</v>
      </c>
      <c r="M44" s="19">
        <v>0.96523417813168033</v>
      </c>
      <c r="N44" s="19">
        <v>0.83266881717657015</v>
      </c>
      <c r="O44" s="19">
        <v>1</v>
      </c>
      <c r="P44" s="19">
        <v>1</v>
      </c>
      <c r="Q44" s="140">
        <v>0.87749815915685614</v>
      </c>
    </row>
    <row r="45" spans="1:17" ht="15.75" thickBot="1">
      <c r="A45" s="2" t="s">
        <v>16</v>
      </c>
      <c r="B45" s="45">
        <v>3</v>
      </c>
      <c r="C45">
        <v>3</v>
      </c>
      <c r="D45">
        <v>3</v>
      </c>
      <c r="E45" s="85">
        <v>3</v>
      </c>
      <c r="F45">
        <v>3</v>
      </c>
      <c r="G45" s="79">
        <v>3</v>
      </c>
      <c r="J45" s="235"/>
      <c r="K45" s="90" t="s">
        <v>90</v>
      </c>
      <c r="L45" s="141">
        <v>0.87749815915685614</v>
      </c>
      <c r="M45" s="141">
        <v>0.91617614039992046</v>
      </c>
      <c r="N45" s="141">
        <v>0.95022231804125923</v>
      </c>
      <c r="O45" s="141">
        <v>0.87749815915685614</v>
      </c>
      <c r="P45" s="141">
        <v>0.87749815915685614</v>
      </c>
      <c r="Q45" s="142">
        <v>1</v>
      </c>
    </row>
    <row r="46" spans="1:17">
      <c r="A46" s="2" t="s">
        <v>17</v>
      </c>
      <c r="B46" s="45">
        <v>3</v>
      </c>
      <c r="C46">
        <v>3</v>
      </c>
      <c r="D46">
        <v>3</v>
      </c>
      <c r="E46" s="85">
        <v>3</v>
      </c>
      <c r="F46">
        <v>3</v>
      </c>
      <c r="G46" s="79">
        <v>3</v>
      </c>
      <c r="L46" s="32">
        <f>SUM(L40:L45)</f>
        <v>5.6754011544651064</v>
      </c>
      <c r="M46">
        <f t="shared" ref="M46:P46" si="2">SUM(M40:M45)</f>
        <v>5.6582059408509711</v>
      </c>
      <c r="N46">
        <f t="shared" si="2"/>
        <v>5.2945560356269796</v>
      </c>
      <c r="O46" s="39">
        <f t="shared" si="2"/>
        <v>5.6754011544651064</v>
      </c>
      <c r="P46" s="39">
        <f t="shared" si="2"/>
        <v>5.6754011544651064</v>
      </c>
      <c r="Q46">
        <f>SUM(Q40:Q45)</f>
        <v>5.4988929359117478</v>
      </c>
    </row>
    <row r="47" spans="1:17">
      <c r="A47" s="2" t="s">
        <v>18</v>
      </c>
      <c r="B47" s="45">
        <v>1</v>
      </c>
      <c r="C47">
        <v>1</v>
      </c>
      <c r="D47">
        <v>2</v>
      </c>
      <c r="E47" s="85">
        <v>1</v>
      </c>
      <c r="F47">
        <v>1</v>
      </c>
      <c r="G47" s="79">
        <v>1</v>
      </c>
    </row>
    <row r="48" spans="1:17">
      <c r="A48" s="2" t="s">
        <v>19</v>
      </c>
      <c r="B48" s="45">
        <v>2</v>
      </c>
      <c r="C48">
        <v>2</v>
      </c>
      <c r="D48">
        <v>3</v>
      </c>
      <c r="E48" s="85">
        <v>2</v>
      </c>
      <c r="F48">
        <v>2</v>
      </c>
      <c r="G48" s="79">
        <v>3</v>
      </c>
    </row>
    <row r="49" spans="1:17">
      <c r="A49" s="2" t="s">
        <v>20</v>
      </c>
      <c r="B49" s="45">
        <v>4</v>
      </c>
      <c r="C49">
        <v>3</v>
      </c>
      <c r="D49">
        <v>3</v>
      </c>
      <c r="E49" s="85">
        <v>4</v>
      </c>
      <c r="F49">
        <v>4</v>
      </c>
      <c r="G49" s="79">
        <v>3</v>
      </c>
      <c r="L49" s="68" t="s">
        <v>118</v>
      </c>
    </row>
    <row r="50" spans="1:17">
      <c r="A50" s="2" t="s">
        <v>21</v>
      </c>
      <c r="B50" s="45">
        <v>2</v>
      </c>
      <c r="C50">
        <v>2</v>
      </c>
      <c r="D50">
        <v>2</v>
      </c>
      <c r="E50" s="85">
        <v>2</v>
      </c>
      <c r="F50">
        <v>2</v>
      </c>
      <c r="G50" s="79">
        <v>2</v>
      </c>
    </row>
    <row r="51" spans="1:17" ht="15.75" thickBot="1">
      <c r="A51" s="3" t="s">
        <v>22</v>
      </c>
      <c r="B51" s="46">
        <v>1</v>
      </c>
      <c r="C51" s="25">
        <v>1</v>
      </c>
      <c r="D51" s="25">
        <v>1</v>
      </c>
      <c r="E51" s="90">
        <v>1</v>
      </c>
      <c r="F51" s="37">
        <v>1</v>
      </c>
      <c r="G51" s="80">
        <v>1</v>
      </c>
    </row>
    <row r="52" spans="1:17" ht="15.75" thickTop="1"/>
    <row r="53" spans="1:17" ht="15.75" thickBot="1"/>
    <row r="54" spans="1:17" ht="15.75" thickBot="1">
      <c r="B54" s="232">
        <v>2023</v>
      </c>
      <c r="C54" s="232"/>
      <c r="D54" s="232"/>
      <c r="E54" s="232"/>
      <c r="F54" s="232"/>
      <c r="G54" s="232"/>
      <c r="L54" s="236" t="s">
        <v>111</v>
      </c>
      <c r="M54" s="236"/>
      <c r="N54" s="236"/>
      <c r="O54" s="237" t="s">
        <v>112</v>
      </c>
      <c r="P54" s="237"/>
      <c r="Q54" s="237"/>
    </row>
    <row r="55" spans="1:17" ht="15.75" thickBot="1">
      <c r="B55" s="233" t="s">
        <v>111</v>
      </c>
      <c r="C55" s="233"/>
      <c r="D55" s="233"/>
      <c r="E55" s="233" t="s">
        <v>112</v>
      </c>
      <c r="F55" s="233"/>
      <c r="G55" s="233"/>
      <c r="K55" s="137"/>
      <c r="L55" s="138" t="s">
        <v>113</v>
      </c>
      <c r="M55" s="138" t="s">
        <v>114</v>
      </c>
      <c r="N55" s="138" t="s">
        <v>90</v>
      </c>
      <c r="O55" s="138" t="s">
        <v>113</v>
      </c>
      <c r="P55" s="138" t="s">
        <v>114</v>
      </c>
      <c r="Q55" s="139" t="s">
        <v>90</v>
      </c>
    </row>
    <row r="56" spans="1:17" ht="15.75" thickBot="1">
      <c r="B56" s="76" t="s">
        <v>113</v>
      </c>
      <c r="C56" s="68" t="s">
        <v>114</v>
      </c>
      <c r="D56" s="77" t="s">
        <v>90</v>
      </c>
      <c r="E56" s="76" t="s">
        <v>113</v>
      </c>
      <c r="F56" s="68" t="s">
        <v>114</v>
      </c>
      <c r="G56" s="77" t="s">
        <v>90</v>
      </c>
      <c r="J56" s="234" t="s">
        <v>111</v>
      </c>
      <c r="K56" s="85" t="s">
        <v>113</v>
      </c>
      <c r="L56" s="19">
        <v>1</v>
      </c>
      <c r="M56" s="19">
        <v>0.96978609735697163</v>
      </c>
      <c r="N56" s="19">
        <v>0.77373981425659943</v>
      </c>
      <c r="O56" s="19">
        <v>0.94341959808480136</v>
      </c>
      <c r="P56" s="19">
        <v>0.96333946708005835</v>
      </c>
      <c r="Q56" s="140">
        <v>0.90659109420514483</v>
      </c>
    </row>
    <row r="57" spans="1:17" ht="17.25" thickTop="1" thickBot="1">
      <c r="A57" s="1" t="s">
        <v>11</v>
      </c>
      <c r="B57" s="44">
        <v>4</v>
      </c>
      <c r="C57" s="22">
        <v>4</v>
      </c>
      <c r="D57" s="22">
        <v>3</v>
      </c>
      <c r="E57" s="112">
        <v>4</v>
      </c>
      <c r="F57" s="113">
        <v>4</v>
      </c>
      <c r="G57" s="114">
        <v>4</v>
      </c>
      <c r="J57" s="234"/>
      <c r="K57" s="85" t="s">
        <v>114</v>
      </c>
      <c r="L57" s="19">
        <v>0.96978609735697163</v>
      </c>
      <c r="M57" s="19">
        <v>1</v>
      </c>
      <c r="N57" s="19">
        <v>0.77330684221867718</v>
      </c>
      <c r="O57" s="19">
        <v>0.96896279024990895</v>
      </c>
      <c r="P57" s="19">
        <v>0.92870878105033561</v>
      </c>
      <c r="Q57" s="140">
        <v>0.86605598323762822</v>
      </c>
    </row>
    <row r="58" spans="1:17">
      <c r="A58" s="2" t="s">
        <v>12</v>
      </c>
      <c r="B58" s="45">
        <v>2</v>
      </c>
      <c r="C58">
        <v>2</v>
      </c>
      <c r="D58">
        <v>3</v>
      </c>
      <c r="E58" s="85">
        <v>3</v>
      </c>
      <c r="F58">
        <v>3</v>
      </c>
      <c r="G58" s="79">
        <v>3</v>
      </c>
      <c r="J58" s="234"/>
      <c r="K58" s="85" t="s">
        <v>90</v>
      </c>
      <c r="L58" s="19">
        <v>0.77373981425659943</v>
      </c>
      <c r="M58" s="19">
        <v>0.77330684221867718</v>
      </c>
      <c r="N58" s="19">
        <v>1</v>
      </c>
      <c r="O58" s="19">
        <v>0.83333333333333315</v>
      </c>
      <c r="P58" s="19">
        <v>0.83266881717657026</v>
      </c>
      <c r="Q58" s="140">
        <v>0.93302052869590435</v>
      </c>
    </row>
    <row r="59" spans="1:17" ht="15.75" thickBot="1">
      <c r="A59" s="2" t="s">
        <v>13</v>
      </c>
      <c r="B59" s="45">
        <v>1</v>
      </c>
      <c r="C59">
        <v>1</v>
      </c>
      <c r="D59">
        <v>1</v>
      </c>
      <c r="E59" s="85">
        <v>2</v>
      </c>
      <c r="F59">
        <v>2</v>
      </c>
      <c r="G59" s="79">
        <v>1</v>
      </c>
      <c r="J59" s="235" t="s">
        <v>112</v>
      </c>
      <c r="K59" s="85" t="s">
        <v>113</v>
      </c>
      <c r="L59" s="19">
        <v>0.94341959808480136</v>
      </c>
      <c r="M59" s="19">
        <v>0.96896279024990895</v>
      </c>
      <c r="N59" s="19">
        <v>0.83333333333333315</v>
      </c>
      <c r="O59" s="19">
        <v>1</v>
      </c>
      <c r="P59" s="19">
        <v>0.96977492763536322</v>
      </c>
      <c r="Q59" s="140">
        <v>0.89685694231234181</v>
      </c>
    </row>
    <row r="60" spans="1:17" ht="15.75" thickBot="1">
      <c r="A60" s="2" t="s">
        <v>15</v>
      </c>
      <c r="B60" s="45">
        <v>2</v>
      </c>
      <c r="C60">
        <v>2</v>
      </c>
      <c r="D60">
        <v>3</v>
      </c>
      <c r="E60" s="85">
        <v>3</v>
      </c>
      <c r="F60">
        <v>3</v>
      </c>
      <c r="G60" s="79">
        <v>3</v>
      </c>
      <c r="J60" s="235"/>
      <c r="K60" s="85" t="s">
        <v>114</v>
      </c>
      <c r="L60" s="19">
        <v>0.96333946708005835</v>
      </c>
      <c r="M60" s="19">
        <v>0.92870878105033561</v>
      </c>
      <c r="N60" s="19">
        <v>0.83266881717657026</v>
      </c>
      <c r="O60" s="19">
        <v>0.96977492763536322</v>
      </c>
      <c r="P60" s="19">
        <v>1</v>
      </c>
      <c r="Q60" s="140">
        <v>0.93253773508865812</v>
      </c>
    </row>
    <row r="61" spans="1:17" ht="15.75" thickBot="1">
      <c r="A61" s="2" t="s">
        <v>16</v>
      </c>
      <c r="B61" s="45">
        <v>3</v>
      </c>
      <c r="C61">
        <v>4</v>
      </c>
      <c r="D61">
        <v>3</v>
      </c>
      <c r="E61" s="85">
        <v>4</v>
      </c>
      <c r="F61">
        <v>4</v>
      </c>
      <c r="G61" s="79">
        <v>4</v>
      </c>
      <c r="J61" s="235"/>
      <c r="K61" s="90" t="s">
        <v>90</v>
      </c>
      <c r="L61" s="141">
        <v>0.90659109420514483</v>
      </c>
      <c r="M61" s="141">
        <v>0.86605598323762822</v>
      </c>
      <c r="N61" s="141">
        <v>0.93302052869590435</v>
      </c>
      <c r="O61" s="141">
        <v>0.89685694231234181</v>
      </c>
      <c r="P61" s="141">
        <v>0.93253773508865812</v>
      </c>
      <c r="Q61" s="142">
        <v>1</v>
      </c>
    </row>
    <row r="62" spans="1:17">
      <c r="A62" s="2" t="s">
        <v>17</v>
      </c>
      <c r="B62" s="45">
        <v>4</v>
      </c>
      <c r="C62">
        <v>4</v>
      </c>
      <c r="D62">
        <v>3</v>
      </c>
      <c r="E62" s="85">
        <v>4</v>
      </c>
      <c r="F62">
        <v>4</v>
      </c>
      <c r="G62" s="79">
        <v>4</v>
      </c>
      <c r="L62">
        <f>SUM(L56:L61)</f>
        <v>5.5568760709835754</v>
      </c>
      <c r="M62">
        <f t="shared" ref="M62:Q62" si="3">SUM(M56:M61)</f>
        <v>5.5068204941135219</v>
      </c>
      <c r="N62">
        <f t="shared" si="3"/>
        <v>5.1460693356810836</v>
      </c>
      <c r="O62">
        <f t="shared" si="3"/>
        <v>5.6123475916157481</v>
      </c>
      <c r="P62" s="32">
        <f t="shared" si="3"/>
        <v>5.627029728030986</v>
      </c>
      <c r="Q62">
        <f t="shared" si="3"/>
        <v>5.5350622835396779</v>
      </c>
    </row>
    <row r="63" spans="1:17">
      <c r="A63" s="2" t="s">
        <v>18</v>
      </c>
      <c r="B63" s="45">
        <v>1</v>
      </c>
      <c r="C63">
        <v>1</v>
      </c>
      <c r="D63">
        <v>2</v>
      </c>
      <c r="E63" s="85">
        <v>2</v>
      </c>
      <c r="F63">
        <v>2</v>
      </c>
      <c r="G63" s="79">
        <v>2</v>
      </c>
    </row>
    <row r="64" spans="1:17">
      <c r="A64" s="2" t="s">
        <v>19</v>
      </c>
      <c r="B64" s="45">
        <v>2</v>
      </c>
      <c r="C64">
        <v>2</v>
      </c>
      <c r="D64">
        <v>2</v>
      </c>
      <c r="E64" s="85">
        <v>3</v>
      </c>
      <c r="F64">
        <v>3</v>
      </c>
      <c r="G64" s="79">
        <v>3</v>
      </c>
    </row>
    <row r="65" spans="1:15">
      <c r="A65" s="2" t="s">
        <v>20</v>
      </c>
      <c r="B65" s="45">
        <v>3</v>
      </c>
      <c r="C65">
        <v>3</v>
      </c>
      <c r="D65">
        <v>3</v>
      </c>
      <c r="E65" s="85">
        <v>3</v>
      </c>
      <c r="F65">
        <v>3</v>
      </c>
      <c r="G65" s="79">
        <v>3</v>
      </c>
      <c r="L65" s="68" t="s">
        <v>119</v>
      </c>
    </row>
    <row r="66" spans="1:15">
      <c r="A66" s="2" t="s">
        <v>21</v>
      </c>
      <c r="B66" s="45">
        <v>2</v>
      </c>
      <c r="C66">
        <v>2</v>
      </c>
      <c r="D66">
        <v>2</v>
      </c>
      <c r="E66" s="85">
        <v>3</v>
      </c>
      <c r="F66">
        <v>3</v>
      </c>
      <c r="G66" s="79">
        <v>3</v>
      </c>
    </row>
    <row r="67" spans="1:15" ht="15.75" thickBot="1">
      <c r="A67" s="3" t="s">
        <v>22</v>
      </c>
      <c r="B67" s="46">
        <v>1</v>
      </c>
      <c r="C67" s="25">
        <v>1</v>
      </c>
      <c r="D67" s="25">
        <v>1</v>
      </c>
      <c r="E67" s="90">
        <v>2</v>
      </c>
      <c r="F67" s="37">
        <v>1</v>
      </c>
      <c r="G67" s="80">
        <v>1</v>
      </c>
    </row>
    <row r="68" spans="1:15" ht="15.75" thickTop="1"/>
    <row r="71" spans="1:15" ht="15.75" thickBot="1"/>
    <row r="72" spans="1:15" ht="15.75" thickBot="1">
      <c r="A72" s="36" t="s">
        <v>120</v>
      </c>
      <c r="L72" s="240" t="s">
        <v>111</v>
      </c>
      <c r="M72" s="240"/>
      <c r="N72" s="240" t="s">
        <v>112</v>
      </c>
      <c r="O72" s="240"/>
    </row>
    <row r="73" spans="1:15" ht="15.75" thickBot="1">
      <c r="B73" s="239">
        <v>2015</v>
      </c>
      <c r="C73" s="239"/>
      <c r="D73" s="239"/>
      <c r="E73" s="239"/>
      <c r="K73" s="144"/>
      <c r="L73" s="137" t="s">
        <v>121</v>
      </c>
      <c r="M73" s="138" t="s">
        <v>122</v>
      </c>
      <c r="N73" s="138" t="s">
        <v>121</v>
      </c>
      <c r="O73" s="139" t="s">
        <v>122</v>
      </c>
    </row>
    <row r="74" spans="1:15" ht="15.75" thickBot="1">
      <c r="B74" s="240" t="s">
        <v>111</v>
      </c>
      <c r="C74" s="240"/>
      <c r="D74" s="240" t="s">
        <v>112</v>
      </c>
      <c r="E74" s="240"/>
      <c r="J74" s="234" t="s">
        <v>111</v>
      </c>
      <c r="K74" s="85" t="s">
        <v>121</v>
      </c>
      <c r="L74" s="19">
        <v>1</v>
      </c>
      <c r="M74" s="19">
        <v>0.95454545454545436</v>
      </c>
      <c r="N74" s="19">
        <v>0.9818181818181817</v>
      </c>
      <c r="O74" s="140">
        <v>0.97272727272727244</v>
      </c>
    </row>
    <row r="75" spans="1:15" ht="15.75" thickBot="1">
      <c r="B75" s="76" t="s">
        <v>121</v>
      </c>
      <c r="C75" s="68" t="s">
        <v>122</v>
      </c>
      <c r="D75" s="76" t="s">
        <v>121</v>
      </c>
      <c r="E75" s="77" t="s">
        <v>122</v>
      </c>
      <c r="J75" s="234"/>
      <c r="K75" s="85" t="s">
        <v>122</v>
      </c>
      <c r="L75" s="19">
        <v>0.95454545454545436</v>
      </c>
      <c r="M75" s="19">
        <v>1</v>
      </c>
      <c r="N75" s="19">
        <v>0.95454545454545436</v>
      </c>
      <c r="O75" s="140">
        <v>0.93636363636363618</v>
      </c>
    </row>
    <row r="76" spans="1:15" ht="17.25" thickTop="1" thickBot="1">
      <c r="A76" s="1" t="s">
        <v>11</v>
      </c>
      <c r="B76" s="44">
        <v>11</v>
      </c>
      <c r="C76" s="22">
        <v>11</v>
      </c>
      <c r="D76" s="44">
        <v>11</v>
      </c>
      <c r="E76" s="23">
        <v>11</v>
      </c>
      <c r="J76" s="241" t="s">
        <v>112</v>
      </c>
      <c r="K76" s="85" t="s">
        <v>121</v>
      </c>
      <c r="L76" s="19">
        <v>0.9818181818181817</v>
      </c>
      <c r="M76" s="19">
        <v>0.95454545454545436</v>
      </c>
      <c r="N76" s="19">
        <v>1</v>
      </c>
      <c r="O76" s="140">
        <v>0.99090909090909063</v>
      </c>
    </row>
    <row r="77" spans="1:15" ht="15.75" thickBot="1">
      <c r="A77" s="2" t="s">
        <v>12</v>
      </c>
      <c r="B77" s="45">
        <v>8</v>
      </c>
      <c r="C77">
        <v>9</v>
      </c>
      <c r="D77" s="45">
        <v>8</v>
      </c>
      <c r="E77" s="24">
        <v>7</v>
      </c>
      <c r="J77" s="241"/>
      <c r="K77" s="90" t="s">
        <v>122</v>
      </c>
      <c r="L77" s="141">
        <v>0.97272727272727244</v>
      </c>
      <c r="M77" s="141">
        <v>0.93636363636363618</v>
      </c>
      <c r="N77" s="141">
        <v>0.99090909090909063</v>
      </c>
      <c r="O77" s="142">
        <v>1</v>
      </c>
    </row>
    <row r="78" spans="1:15">
      <c r="A78" s="2" t="s">
        <v>13</v>
      </c>
      <c r="B78" s="45">
        <v>3</v>
      </c>
      <c r="C78">
        <v>2</v>
      </c>
      <c r="D78" s="45">
        <v>2</v>
      </c>
      <c r="E78" s="24">
        <v>2</v>
      </c>
      <c r="L78">
        <f>SUM(L74:L77)</f>
        <v>3.9090909090909083</v>
      </c>
      <c r="M78">
        <f t="shared" ref="M78:O78" si="4">SUM(M74:M77)</f>
        <v>3.8454545454545448</v>
      </c>
      <c r="N78" s="32">
        <f t="shared" si="4"/>
        <v>3.9272727272727268</v>
      </c>
      <c r="O78">
        <f t="shared" si="4"/>
        <v>3.8999999999999995</v>
      </c>
    </row>
    <row r="79" spans="1:15">
      <c r="A79" s="2" t="s">
        <v>15</v>
      </c>
      <c r="B79" s="45">
        <v>4</v>
      </c>
      <c r="C79">
        <v>4</v>
      </c>
      <c r="D79" s="45">
        <v>4</v>
      </c>
      <c r="E79" s="24">
        <v>4</v>
      </c>
    </row>
    <row r="80" spans="1:15">
      <c r="A80" s="2" t="s">
        <v>16</v>
      </c>
      <c r="B80" s="45">
        <v>9</v>
      </c>
      <c r="C80">
        <v>8</v>
      </c>
      <c r="D80" s="45">
        <v>9</v>
      </c>
      <c r="E80" s="24">
        <v>9</v>
      </c>
    </row>
    <row r="81" spans="1:15">
      <c r="A81" s="2" t="s">
        <v>17</v>
      </c>
      <c r="B81" s="45">
        <v>7</v>
      </c>
      <c r="C81">
        <v>7</v>
      </c>
      <c r="D81" s="45">
        <v>7</v>
      </c>
      <c r="E81" s="24">
        <v>8</v>
      </c>
      <c r="K81" s="143" t="s">
        <v>123</v>
      </c>
    </row>
    <row r="82" spans="1:15">
      <c r="A82" s="2" t="s">
        <v>18</v>
      </c>
      <c r="B82" s="45">
        <v>2</v>
      </c>
      <c r="C82">
        <v>1</v>
      </c>
      <c r="D82" s="45">
        <v>3</v>
      </c>
      <c r="E82" s="24">
        <v>3</v>
      </c>
    </row>
    <row r="83" spans="1:15">
      <c r="A83" s="2" t="s">
        <v>19</v>
      </c>
      <c r="B83" s="45">
        <v>6</v>
      </c>
      <c r="C83">
        <v>5</v>
      </c>
      <c r="D83" s="45">
        <v>5</v>
      </c>
      <c r="E83" s="24">
        <v>5</v>
      </c>
    </row>
    <row r="84" spans="1:15">
      <c r="A84" s="2" t="s">
        <v>20</v>
      </c>
      <c r="B84" s="45">
        <v>10</v>
      </c>
      <c r="C84">
        <v>10</v>
      </c>
      <c r="D84" s="45">
        <v>10</v>
      </c>
      <c r="E84" s="24">
        <v>10</v>
      </c>
    </row>
    <row r="85" spans="1:15">
      <c r="A85" s="2" t="s">
        <v>21</v>
      </c>
      <c r="B85" s="45">
        <v>5</v>
      </c>
      <c r="C85">
        <v>6</v>
      </c>
      <c r="D85" s="45">
        <v>6</v>
      </c>
      <c r="E85" s="24">
        <v>6</v>
      </c>
    </row>
    <row r="86" spans="1:15" ht="15.75" thickBot="1">
      <c r="A86" s="3" t="s">
        <v>22</v>
      </c>
      <c r="B86" s="46">
        <v>1</v>
      </c>
      <c r="C86" s="25">
        <v>3</v>
      </c>
      <c r="D86" s="46">
        <v>1</v>
      </c>
      <c r="E86" s="26">
        <v>1</v>
      </c>
    </row>
    <row r="87" spans="1:15" ht="15.75" thickTop="1"/>
    <row r="88" spans="1:15" ht="15.75" thickBot="1"/>
    <row r="89" spans="1:15" ht="15.75" thickBot="1">
      <c r="L89" s="240" t="s">
        <v>111</v>
      </c>
      <c r="M89" s="240"/>
      <c r="N89" s="240" t="s">
        <v>112</v>
      </c>
      <c r="O89" s="240"/>
    </row>
    <row r="90" spans="1:15" ht="15.75" thickBot="1">
      <c r="B90" s="239">
        <v>2023</v>
      </c>
      <c r="C90" s="239"/>
      <c r="D90" s="239"/>
      <c r="E90" s="239"/>
      <c r="K90" s="78"/>
      <c r="L90" s="137" t="s">
        <v>121</v>
      </c>
      <c r="M90" s="138" t="s">
        <v>122</v>
      </c>
      <c r="N90" s="138" t="s">
        <v>121</v>
      </c>
      <c r="O90" s="139" t="s">
        <v>122</v>
      </c>
    </row>
    <row r="91" spans="1:15" ht="15.75" thickBot="1">
      <c r="B91" s="240" t="s">
        <v>111</v>
      </c>
      <c r="C91" s="240"/>
      <c r="D91" s="240" t="s">
        <v>112</v>
      </c>
      <c r="E91" s="240"/>
      <c r="J91" s="234" t="s">
        <v>111</v>
      </c>
      <c r="K91" s="112" t="s">
        <v>121</v>
      </c>
      <c r="L91" s="19">
        <v>1</v>
      </c>
      <c r="M91" s="19">
        <v>0.97272727272727244</v>
      </c>
      <c r="N91" s="19">
        <v>0.93636363636363618</v>
      </c>
      <c r="O91" s="140">
        <v>0.93636363636363618</v>
      </c>
    </row>
    <row r="92" spans="1:15" ht="15.75" thickBot="1">
      <c r="B92" s="76" t="s">
        <v>121</v>
      </c>
      <c r="C92" s="68" t="s">
        <v>122</v>
      </c>
      <c r="D92" s="76" t="s">
        <v>121</v>
      </c>
      <c r="E92" s="77" t="s">
        <v>122</v>
      </c>
      <c r="J92" s="234"/>
      <c r="K92" s="85" t="s">
        <v>122</v>
      </c>
      <c r="L92" s="19">
        <v>0.97272727272727244</v>
      </c>
      <c r="M92" s="19">
        <v>1</v>
      </c>
      <c r="N92" s="19">
        <v>0.96363636363636351</v>
      </c>
      <c r="O92" s="140">
        <v>0.96363636363636351</v>
      </c>
    </row>
    <row r="93" spans="1:15" ht="17.25" thickTop="1" thickBot="1">
      <c r="A93" s="1" t="s">
        <v>11</v>
      </c>
      <c r="B93" s="44">
        <v>11</v>
      </c>
      <c r="C93" s="22">
        <v>11</v>
      </c>
      <c r="D93" s="112">
        <v>11</v>
      </c>
      <c r="E93" s="114">
        <v>11</v>
      </c>
      <c r="J93" s="241" t="s">
        <v>112</v>
      </c>
      <c r="K93" s="85" t="s">
        <v>121</v>
      </c>
      <c r="L93" s="19">
        <v>0.93636363636363618</v>
      </c>
      <c r="M93" s="19">
        <v>0.96363636363636351</v>
      </c>
      <c r="N93" s="19">
        <v>1</v>
      </c>
      <c r="O93" s="140">
        <v>1</v>
      </c>
    </row>
    <row r="94" spans="1:15" ht="15.75" thickBot="1">
      <c r="A94" s="2" t="s">
        <v>12</v>
      </c>
      <c r="B94" s="45">
        <v>6</v>
      </c>
      <c r="C94">
        <v>7</v>
      </c>
      <c r="D94" s="85">
        <v>5</v>
      </c>
      <c r="E94" s="79">
        <v>5</v>
      </c>
      <c r="J94" s="241"/>
      <c r="K94" s="90" t="s">
        <v>122</v>
      </c>
      <c r="L94" s="141">
        <v>0.93636363636363618</v>
      </c>
      <c r="M94" s="141">
        <v>0.96363636363636351</v>
      </c>
      <c r="N94" s="141">
        <v>0.99999999999999978</v>
      </c>
      <c r="O94" s="142">
        <v>1</v>
      </c>
    </row>
    <row r="95" spans="1:15">
      <c r="A95" s="2" t="s">
        <v>13</v>
      </c>
      <c r="B95" s="45">
        <v>2</v>
      </c>
      <c r="C95">
        <v>3</v>
      </c>
      <c r="D95" s="85">
        <v>2</v>
      </c>
      <c r="E95" s="79">
        <v>2</v>
      </c>
      <c r="L95" s="39">
        <f>SUM(L91:L94)</f>
        <v>3.8454545454545448</v>
      </c>
      <c r="M95" s="32">
        <f t="shared" ref="M95:N95" si="5">SUM(M91:M94)</f>
        <v>3.8999999999999995</v>
      </c>
      <c r="N95">
        <f t="shared" si="5"/>
        <v>3.8999999999999995</v>
      </c>
      <c r="O95">
        <f>SUM(O91:O94)</f>
        <v>3.8999999999999995</v>
      </c>
    </row>
    <row r="96" spans="1:15">
      <c r="A96" s="2" t="s">
        <v>15</v>
      </c>
      <c r="B96" s="45">
        <v>4</v>
      </c>
      <c r="C96">
        <v>5</v>
      </c>
      <c r="D96" s="85">
        <v>6</v>
      </c>
      <c r="E96" s="79">
        <v>7</v>
      </c>
    </row>
    <row r="97" spans="1:11">
      <c r="A97" s="2" t="s">
        <v>16</v>
      </c>
      <c r="B97" s="45">
        <v>9</v>
      </c>
      <c r="C97">
        <v>9</v>
      </c>
      <c r="D97" s="85">
        <v>9</v>
      </c>
      <c r="E97" s="79">
        <v>9</v>
      </c>
    </row>
    <row r="98" spans="1:11">
      <c r="A98" s="2" t="s">
        <v>17</v>
      </c>
      <c r="B98" s="45">
        <v>10</v>
      </c>
      <c r="C98">
        <v>10</v>
      </c>
      <c r="D98" s="85">
        <v>10</v>
      </c>
      <c r="E98" s="79">
        <v>10</v>
      </c>
      <c r="K98" s="143" t="s">
        <v>124</v>
      </c>
    </row>
    <row r="99" spans="1:11">
      <c r="A99" s="2" t="s">
        <v>18</v>
      </c>
      <c r="B99" s="45">
        <v>3</v>
      </c>
      <c r="C99">
        <v>2</v>
      </c>
      <c r="D99" s="85">
        <v>3</v>
      </c>
      <c r="E99" s="79">
        <v>3</v>
      </c>
    </row>
    <row r="100" spans="1:11">
      <c r="A100" s="2" t="s">
        <v>19</v>
      </c>
      <c r="B100" s="45">
        <v>7</v>
      </c>
      <c r="C100">
        <v>6</v>
      </c>
      <c r="D100" s="85">
        <v>4</v>
      </c>
      <c r="E100" s="79">
        <v>4</v>
      </c>
    </row>
    <row r="101" spans="1:11">
      <c r="A101" s="2" t="s">
        <v>20</v>
      </c>
      <c r="B101" s="45">
        <v>8</v>
      </c>
      <c r="C101">
        <v>8</v>
      </c>
      <c r="D101" s="85">
        <v>8</v>
      </c>
      <c r="E101" s="79">
        <v>8</v>
      </c>
    </row>
    <row r="102" spans="1:11">
      <c r="A102" s="2" t="s">
        <v>21</v>
      </c>
      <c r="B102" s="45">
        <v>5</v>
      </c>
      <c r="C102">
        <v>4</v>
      </c>
      <c r="D102" s="85">
        <v>7</v>
      </c>
      <c r="E102" s="79">
        <v>6</v>
      </c>
    </row>
    <row r="103" spans="1:11" ht="15.75" thickBot="1">
      <c r="A103" s="3" t="s">
        <v>22</v>
      </c>
      <c r="B103" s="46">
        <v>1</v>
      </c>
      <c r="C103" s="25">
        <v>1</v>
      </c>
      <c r="D103" s="90">
        <v>1</v>
      </c>
      <c r="E103" s="80">
        <v>1</v>
      </c>
    </row>
    <row r="104" spans="1:11" ht="15.75" thickTop="1"/>
    <row r="108" spans="1:11">
      <c r="A108" s="36" t="s">
        <v>90</v>
      </c>
    </row>
    <row r="109" spans="1:11" ht="15.75" thickBot="1"/>
    <row r="110" spans="1:11" ht="15.75" thickTop="1">
      <c r="B110" s="242">
        <v>2015</v>
      </c>
      <c r="C110" s="243"/>
    </row>
    <row r="111" spans="1:11" ht="15.75" thickBot="1">
      <c r="B111" s="82" t="s">
        <v>111</v>
      </c>
      <c r="C111" s="83" t="s">
        <v>112</v>
      </c>
    </row>
    <row r="112" spans="1:11" ht="16.5" thickTop="1">
      <c r="A112" s="81" t="s">
        <v>11</v>
      </c>
      <c r="B112" s="45">
        <v>0.26752996998236594</v>
      </c>
      <c r="C112" s="24">
        <v>0.24747856740226881</v>
      </c>
      <c r="F112" s="38"/>
      <c r="G112" s="38" t="s">
        <v>111</v>
      </c>
      <c r="H112" s="38" t="s">
        <v>112</v>
      </c>
    </row>
    <row r="113" spans="1:8">
      <c r="A113" s="45" t="s">
        <v>12</v>
      </c>
      <c r="B113" s="45">
        <v>0.40036164282116887</v>
      </c>
      <c r="C113" s="24">
        <v>0.39949584100152136</v>
      </c>
      <c r="F113" t="s">
        <v>111</v>
      </c>
      <c r="G113">
        <v>1</v>
      </c>
    </row>
    <row r="114" spans="1:8" ht="15.75" thickBot="1">
      <c r="A114" s="45" t="s">
        <v>13</v>
      </c>
      <c r="B114" s="45">
        <v>0.69855607527888686</v>
      </c>
      <c r="C114" s="24">
        <v>0.71355785831253227</v>
      </c>
      <c r="F114" s="37" t="s">
        <v>112</v>
      </c>
      <c r="G114" s="37">
        <v>0.99949199289326585</v>
      </c>
      <c r="H114" s="37">
        <v>1</v>
      </c>
    </row>
    <row r="115" spans="1:8">
      <c r="A115" s="45" t="s">
        <v>15</v>
      </c>
      <c r="B115" s="45">
        <v>0.57723035564787606</v>
      </c>
      <c r="C115" s="24">
        <v>0.58634750490583054</v>
      </c>
    </row>
    <row r="116" spans="1:8">
      <c r="A116" s="45" t="s">
        <v>16</v>
      </c>
      <c r="B116" s="45">
        <v>0.38686600744112981</v>
      </c>
      <c r="C116" s="24">
        <v>0.37647110271403345</v>
      </c>
      <c r="F116" s="68" t="s">
        <v>125</v>
      </c>
    </row>
    <row r="117" spans="1:8">
      <c r="A117" s="45" t="s">
        <v>17</v>
      </c>
      <c r="B117" s="45">
        <v>0.39090786039862691</v>
      </c>
      <c r="C117" s="24">
        <v>0.38596225191136724</v>
      </c>
    </row>
    <row r="118" spans="1:8">
      <c r="A118" s="45" t="s">
        <v>18</v>
      </c>
      <c r="B118" s="45">
        <v>0.58353353598277991</v>
      </c>
      <c r="C118" s="24">
        <v>0.58601091577600961</v>
      </c>
    </row>
    <row r="119" spans="1:8">
      <c r="A119" s="45" t="s">
        <v>19</v>
      </c>
      <c r="B119" s="45">
        <v>0.46110820999959795</v>
      </c>
      <c r="C119" s="24">
        <v>0.45824482787373988</v>
      </c>
    </row>
    <row r="120" spans="1:8">
      <c r="A120" s="45" t="s">
        <v>20</v>
      </c>
      <c r="B120" s="45">
        <v>0.40107218309127568</v>
      </c>
      <c r="C120" s="24">
        <v>0.3834237549779973</v>
      </c>
    </row>
    <row r="121" spans="1:8">
      <c r="A121" s="45" t="s">
        <v>21</v>
      </c>
      <c r="B121" s="45">
        <v>0.48735097193533977</v>
      </c>
      <c r="C121" s="24">
        <v>0.48352035761378453</v>
      </c>
    </row>
    <row r="122" spans="1:8" ht="15.75" thickBot="1">
      <c r="A122" s="46" t="s">
        <v>22</v>
      </c>
      <c r="B122" s="46">
        <v>0.64643958199375162</v>
      </c>
      <c r="C122" s="26">
        <v>0.66067205086892067</v>
      </c>
    </row>
    <row r="123" spans="1:8" ht="15.75" thickTop="1"/>
    <row r="124" spans="1:8" ht="15.75" thickBot="1"/>
    <row r="125" spans="1:8" ht="15.75" thickTop="1">
      <c r="B125" s="242">
        <v>2023</v>
      </c>
      <c r="C125" s="243"/>
    </row>
    <row r="126" spans="1:8" ht="15.75" thickBot="1">
      <c r="B126" s="82" t="s">
        <v>111</v>
      </c>
      <c r="C126" s="83" t="s">
        <v>112</v>
      </c>
    </row>
    <row r="127" spans="1:8" ht="16.5" thickTop="1">
      <c r="A127" s="81" t="s">
        <v>11</v>
      </c>
      <c r="B127" s="45">
        <v>0.29753717411147568</v>
      </c>
      <c r="C127" s="24">
        <v>0.26897122657865985</v>
      </c>
      <c r="F127" s="38"/>
      <c r="G127" s="38" t="s">
        <v>111</v>
      </c>
      <c r="H127" s="38" t="s">
        <v>112</v>
      </c>
    </row>
    <row r="128" spans="1:8">
      <c r="A128" s="45" t="s">
        <v>12</v>
      </c>
      <c r="B128" s="45">
        <v>0.45102564226847669</v>
      </c>
      <c r="C128" s="24">
        <v>0.43000164653824519</v>
      </c>
      <c r="F128" t="s">
        <v>111</v>
      </c>
      <c r="G128">
        <v>1</v>
      </c>
    </row>
    <row r="129" spans="1:8" ht="15.75" thickBot="1">
      <c r="A129" s="45" t="s">
        <v>13</v>
      </c>
      <c r="B129" s="45">
        <v>0.69617987623740396</v>
      </c>
      <c r="C129" s="24">
        <v>0.70905031984267097</v>
      </c>
      <c r="F129" s="37" t="s">
        <v>112</v>
      </c>
      <c r="G129" s="37">
        <v>0.99924018770056344</v>
      </c>
      <c r="H129" s="37">
        <v>1</v>
      </c>
    </row>
    <row r="130" spans="1:8">
      <c r="A130" s="45" t="s">
        <v>15</v>
      </c>
      <c r="B130" s="45">
        <v>0.47366117796664103</v>
      </c>
      <c r="C130" s="24">
        <v>0.4505782219641809</v>
      </c>
    </row>
    <row r="131" spans="1:8">
      <c r="A131" s="45" t="s">
        <v>16</v>
      </c>
      <c r="B131" s="45">
        <v>0.3708967238381532</v>
      </c>
      <c r="C131" s="24">
        <v>0.34553401522117549</v>
      </c>
    </row>
    <row r="132" spans="1:8">
      <c r="A132" s="45" t="s">
        <v>17</v>
      </c>
      <c r="B132" s="45">
        <v>0.28900472184644527</v>
      </c>
      <c r="C132" s="24">
        <v>0.25511951467791832</v>
      </c>
      <c r="F132" s="68" t="s">
        <v>125</v>
      </c>
    </row>
    <row r="133" spans="1:8">
      <c r="A133" s="45" t="s">
        <v>18</v>
      </c>
      <c r="B133" s="45">
        <v>0.5869372379594987</v>
      </c>
      <c r="C133" s="24">
        <v>0.58930455235725687</v>
      </c>
    </row>
    <row r="134" spans="1:8">
      <c r="A134" s="45" t="s">
        <v>19</v>
      </c>
      <c r="B134" s="45">
        <v>0.49337754270370071</v>
      </c>
      <c r="C134" s="24">
        <v>0.48739643999812649</v>
      </c>
    </row>
    <row r="135" spans="1:8">
      <c r="A135" s="45" t="s">
        <v>20</v>
      </c>
      <c r="B135" s="45">
        <v>0.4299277213242485</v>
      </c>
      <c r="C135" s="24">
        <v>0.41084110621710546</v>
      </c>
    </row>
    <row r="136" spans="1:8">
      <c r="A136" s="45" t="s">
        <v>21</v>
      </c>
      <c r="B136" s="45">
        <v>0.51722997664901205</v>
      </c>
      <c r="C136" s="24">
        <v>0.51261034407830863</v>
      </c>
    </row>
    <row r="137" spans="1:8" ht="15.75" thickBot="1">
      <c r="A137" s="46" t="s">
        <v>22</v>
      </c>
      <c r="B137" s="46">
        <v>0.69517859966774298</v>
      </c>
      <c r="C137" s="26">
        <v>0.69207742187884513</v>
      </c>
    </row>
    <row r="138" spans="1:8" ht="15.75" thickTop="1"/>
    <row r="141" spans="1:8">
      <c r="A141" s="36" t="s">
        <v>126</v>
      </c>
    </row>
    <row r="144" spans="1:8" ht="15.75" thickBot="1"/>
    <row r="145" spans="1:17" ht="15.75" thickBot="1">
      <c r="B145" s="47" t="s">
        <v>43</v>
      </c>
      <c r="C145" s="48" t="s">
        <v>44</v>
      </c>
      <c r="D145" s="48" t="s">
        <v>45</v>
      </c>
      <c r="E145" s="48" t="s">
        <v>46</v>
      </c>
      <c r="F145" s="48" t="s">
        <v>47</v>
      </c>
      <c r="G145" s="48" t="s">
        <v>48</v>
      </c>
      <c r="H145" s="48" t="s">
        <v>49</v>
      </c>
      <c r="I145" s="48" t="s">
        <v>50</v>
      </c>
      <c r="J145" s="47" t="s">
        <v>43</v>
      </c>
      <c r="K145" s="48" t="s">
        <v>44</v>
      </c>
      <c r="L145" s="48" t="s">
        <v>45</v>
      </c>
      <c r="M145" s="48" t="s">
        <v>46</v>
      </c>
      <c r="N145" s="48" t="s">
        <v>47</v>
      </c>
      <c r="O145" s="48" t="s">
        <v>48</v>
      </c>
      <c r="P145" s="48" t="s">
        <v>49</v>
      </c>
      <c r="Q145" s="48" t="s">
        <v>50</v>
      </c>
    </row>
    <row r="146" spans="1:17" ht="16.5" thickTop="1">
      <c r="A146" s="81" t="s">
        <v>11</v>
      </c>
      <c r="B146" s="44">
        <v>13586</v>
      </c>
      <c r="C146" s="22">
        <v>74.7</v>
      </c>
      <c r="D146" s="22">
        <v>0.95</v>
      </c>
      <c r="E146" s="22">
        <v>22.2</v>
      </c>
      <c r="F146" s="22">
        <v>3.94</v>
      </c>
      <c r="G146" s="22">
        <v>6.1</v>
      </c>
      <c r="H146" s="22">
        <v>1.2000000000000028</v>
      </c>
      <c r="I146" s="23">
        <v>6.6</v>
      </c>
      <c r="J146" s="14">
        <v>24484.89</v>
      </c>
      <c r="K146" s="15">
        <v>75.8</v>
      </c>
      <c r="L146" s="15">
        <v>0.79</v>
      </c>
      <c r="M146" s="15">
        <v>18.7</v>
      </c>
      <c r="N146" s="15">
        <v>5.48</v>
      </c>
      <c r="O146" s="15">
        <v>2.6000000000000005</v>
      </c>
      <c r="P146" s="33">
        <v>2</v>
      </c>
      <c r="Q146" s="21">
        <v>3.8</v>
      </c>
    </row>
    <row r="147" spans="1:17">
      <c r="A147" s="45" t="s">
        <v>12</v>
      </c>
      <c r="B147" s="45">
        <v>17084.599999999999</v>
      </c>
      <c r="C147">
        <v>77.5</v>
      </c>
      <c r="D147">
        <v>0.82</v>
      </c>
      <c r="E147">
        <v>20.399999999999999</v>
      </c>
      <c r="F147">
        <v>6.57</v>
      </c>
      <c r="G147">
        <v>1.925</v>
      </c>
      <c r="H147">
        <v>20.100000000000001</v>
      </c>
      <c r="I147" s="24">
        <v>9.6</v>
      </c>
      <c r="J147" s="8">
        <v>30029.1</v>
      </c>
      <c r="K147" s="9">
        <v>78.599999999999994</v>
      </c>
      <c r="L147" s="9">
        <v>1.39</v>
      </c>
      <c r="M147" s="9">
        <v>15.2</v>
      </c>
      <c r="N147" s="9">
        <v>6.85</v>
      </c>
      <c r="O147" s="9">
        <v>0.80000000000000071</v>
      </c>
      <c r="P147" s="34">
        <v>11.3</v>
      </c>
      <c r="Q147" s="10">
        <v>4.3</v>
      </c>
    </row>
    <row r="148" spans="1:17">
      <c r="A148" s="45" t="s">
        <v>13</v>
      </c>
      <c r="B148" s="45">
        <v>24603.599999999999</v>
      </c>
      <c r="C148">
        <v>78.7</v>
      </c>
      <c r="D148">
        <v>1.91</v>
      </c>
      <c r="E148">
        <v>12.4</v>
      </c>
      <c r="F148">
        <v>15.3</v>
      </c>
      <c r="G148">
        <v>11.1</v>
      </c>
      <c r="H148">
        <v>31.5</v>
      </c>
      <c r="I148" s="24">
        <v>3</v>
      </c>
      <c r="J148" s="8">
        <v>34664.5</v>
      </c>
      <c r="K148" s="9">
        <v>79.900000000000006</v>
      </c>
      <c r="L148" s="9">
        <v>1.82</v>
      </c>
      <c r="M148" s="9">
        <v>13.4</v>
      </c>
      <c r="N148" s="9">
        <v>14.195</v>
      </c>
      <c r="O148" s="9">
        <v>4.3000000000000007</v>
      </c>
      <c r="P148" s="34">
        <v>20</v>
      </c>
      <c r="Q148" s="10">
        <v>0.40000000000000036</v>
      </c>
    </row>
    <row r="149" spans="1:17">
      <c r="A149" s="45" t="s">
        <v>15</v>
      </c>
      <c r="B149" s="45">
        <v>21398.400000000001</v>
      </c>
      <c r="C149">
        <v>78</v>
      </c>
      <c r="D149">
        <v>1.44</v>
      </c>
      <c r="E149">
        <v>18.3</v>
      </c>
      <c r="F149">
        <v>16.28</v>
      </c>
      <c r="G149">
        <v>9.7999999999999989</v>
      </c>
      <c r="H149">
        <v>20.9</v>
      </c>
      <c r="I149" s="24">
        <v>0</v>
      </c>
      <c r="J149" s="8">
        <v>30583.4</v>
      </c>
      <c r="K149" s="9">
        <v>79.099999999999994</v>
      </c>
      <c r="L149" s="9">
        <v>1.83</v>
      </c>
      <c r="M149" s="9">
        <v>17.5</v>
      </c>
      <c r="N149" s="9">
        <v>10.79</v>
      </c>
      <c r="O149" s="9">
        <v>0.5</v>
      </c>
      <c r="P149" s="34">
        <v>7.8</v>
      </c>
      <c r="Q149" s="10">
        <v>0</v>
      </c>
    </row>
    <row r="150" spans="1:17">
      <c r="A150" s="45" t="s">
        <v>16</v>
      </c>
      <c r="B150" s="45">
        <v>20741.2</v>
      </c>
      <c r="C150">
        <v>74.599999999999994</v>
      </c>
      <c r="D150">
        <v>0.64</v>
      </c>
      <c r="E150">
        <v>13.8</v>
      </c>
      <c r="F150">
        <v>6.55</v>
      </c>
      <c r="G150">
        <v>7.1</v>
      </c>
      <c r="H150">
        <v>15.100000000000001</v>
      </c>
      <c r="I150" s="24">
        <v>10</v>
      </c>
      <c r="J150" s="8">
        <v>33263.800000000003</v>
      </c>
      <c r="K150" s="9">
        <v>77.599999999999994</v>
      </c>
      <c r="L150" s="9">
        <v>0.82</v>
      </c>
      <c r="M150" s="9">
        <v>11.6</v>
      </c>
      <c r="N150" s="9">
        <v>7.79</v>
      </c>
      <c r="O150" s="9">
        <v>0</v>
      </c>
      <c r="P150" s="34">
        <v>7.7</v>
      </c>
      <c r="Q150" s="10">
        <v>5.0999999999999996</v>
      </c>
    </row>
    <row r="151" spans="1:17">
      <c r="A151" s="45" t="s">
        <v>17</v>
      </c>
      <c r="B151" s="45">
        <v>17354</v>
      </c>
      <c r="C151">
        <v>74.8</v>
      </c>
      <c r="D151">
        <v>1.04</v>
      </c>
      <c r="E151">
        <v>15.6</v>
      </c>
      <c r="F151">
        <v>9.5299999999999994</v>
      </c>
      <c r="G151">
        <v>6.2999999999999989</v>
      </c>
      <c r="H151">
        <v>14.5</v>
      </c>
      <c r="I151" s="24">
        <v>8.6</v>
      </c>
      <c r="J151" s="8">
        <v>27195.5</v>
      </c>
      <c r="K151" s="9">
        <v>75.599999999999994</v>
      </c>
      <c r="L151" s="9">
        <v>1.05</v>
      </c>
      <c r="M151" s="9">
        <v>16</v>
      </c>
      <c r="N151" s="9">
        <v>8.6999999999999993</v>
      </c>
      <c r="O151" s="9">
        <v>0.40000000000000036</v>
      </c>
      <c r="P151" s="34">
        <v>6.4</v>
      </c>
      <c r="Q151" s="10">
        <v>1.7000000000000002</v>
      </c>
    </row>
    <row r="152" spans="1:17">
      <c r="A152" s="45" t="s">
        <v>18</v>
      </c>
      <c r="B152" s="45">
        <v>19368.900000000001</v>
      </c>
      <c r="C152">
        <v>75.7</v>
      </c>
      <c r="D152">
        <v>1.34</v>
      </c>
      <c r="E152">
        <v>21.9</v>
      </c>
      <c r="F152">
        <v>14.48</v>
      </c>
      <c r="G152">
        <v>9.6</v>
      </c>
      <c r="H152">
        <v>13.899999999999999</v>
      </c>
      <c r="I152" s="24">
        <v>8.3999999999999986</v>
      </c>
      <c r="J152" s="8">
        <v>29323</v>
      </c>
      <c r="K152" s="9">
        <v>76.7</v>
      </c>
      <c r="L152" s="9">
        <v>1.38</v>
      </c>
      <c r="M152" s="9">
        <v>18.100000000000001</v>
      </c>
      <c r="N152" s="9">
        <v>14.195</v>
      </c>
      <c r="O152" s="9">
        <v>2.8000000000000007</v>
      </c>
      <c r="P152" s="34">
        <v>12.3</v>
      </c>
      <c r="Q152" s="10">
        <v>4.4000000000000004</v>
      </c>
    </row>
    <row r="153" spans="1:17">
      <c r="A153" s="45" t="s">
        <v>19</v>
      </c>
      <c r="B153" s="45">
        <v>19407.599999999999</v>
      </c>
      <c r="C153">
        <v>77.5</v>
      </c>
      <c r="D153">
        <v>1</v>
      </c>
      <c r="E153">
        <v>15.2</v>
      </c>
      <c r="F153">
        <v>7.92</v>
      </c>
      <c r="G153">
        <v>8.5</v>
      </c>
      <c r="H153">
        <v>22</v>
      </c>
      <c r="I153" s="24">
        <v>5</v>
      </c>
      <c r="J153" s="8">
        <v>29572.1</v>
      </c>
      <c r="K153" s="9">
        <v>78.400000000000006</v>
      </c>
      <c r="L153" s="9">
        <v>1.56</v>
      </c>
      <c r="M153" s="9">
        <v>12</v>
      </c>
      <c r="N153" s="9">
        <v>9.14</v>
      </c>
      <c r="O153" s="9">
        <v>4.1000000000000005</v>
      </c>
      <c r="P153" s="34">
        <v>15.7</v>
      </c>
      <c r="Q153" s="10">
        <v>0.90000000000000036</v>
      </c>
    </row>
    <row r="154" spans="1:17">
      <c r="A154" s="45" t="s">
        <v>20</v>
      </c>
      <c r="B154" s="45">
        <v>15543.4</v>
      </c>
      <c r="C154">
        <v>74.900000000000006</v>
      </c>
      <c r="D154">
        <v>0.49</v>
      </c>
      <c r="E154">
        <v>29.4</v>
      </c>
      <c r="F154">
        <v>6.43</v>
      </c>
      <c r="G154">
        <v>7.7999999999999989</v>
      </c>
      <c r="H154">
        <v>0</v>
      </c>
      <c r="I154" s="24">
        <v>10.7</v>
      </c>
      <c r="J154" s="8">
        <v>29431.7</v>
      </c>
      <c r="K154" s="9">
        <v>76.400000000000006</v>
      </c>
      <c r="L154" s="9">
        <v>0.52</v>
      </c>
      <c r="M154" s="9">
        <v>22.3</v>
      </c>
      <c r="N154" s="9">
        <v>8.89</v>
      </c>
      <c r="O154" s="9">
        <v>1.3000000000000007</v>
      </c>
      <c r="P154" s="34">
        <v>0</v>
      </c>
      <c r="Q154" s="10">
        <v>6.5</v>
      </c>
    </row>
    <row r="155" spans="1:17">
      <c r="A155" s="45" t="s">
        <v>21</v>
      </c>
      <c r="B155" s="45">
        <v>21683</v>
      </c>
      <c r="C155">
        <v>76.7</v>
      </c>
      <c r="D155">
        <v>1.1499999999999999</v>
      </c>
      <c r="E155">
        <v>14.6</v>
      </c>
      <c r="F155">
        <v>5.35</v>
      </c>
      <c r="G155">
        <v>7.1999999999999993</v>
      </c>
      <c r="H155">
        <v>27.2</v>
      </c>
      <c r="I155" s="24">
        <v>7.6999999999999993</v>
      </c>
      <c r="J155" s="8">
        <v>35052.199999999997</v>
      </c>
      <c r="K155" s="9">
        <v>78.2</v>
      </c>
      <c r="L155" s="9">
        <v>1.03</v>
      </c>
      <c r="M155" s="9">
        <v>12.8</v>
      </c>
      <c r="N155" s="9">
        <v>6.7</v>
      </c>
      <c r="O155" s="9">
        <v>3.2</v>
      </c>
      <c r="P155" s="34">
        <v>14.4</v>
      </c>
      <c r="Q155" s="10">
        <v>4.3</v>
      </c>
    </row>
    <row r="156" spans="1:17" ht="15.75" thickBot="1">
      <c r="A156" s="46" t="s">
        <v>22</v>
      </c>
      <c r="B156" s="46">
        <v>22534.1</v>
      </c>
      <c r="C156" s="25">
        <v>80.900000000000006</v>
      </c>
      <c r="D156" s="25">
        <v>2.1475</v>
      </c>
      <c r="E156" s="25">
        <v>17.399999999999999</v>
      </c>
      <c r="F156" s="25">
        <v>9.91</v>
      </c>
      <c r="G156" s="25">
        <v>4.6999999999999993</v>
      </c>
      <c r="H156" s="25">
        <v>26.8</v>
      </c>
      <c r="I156" s="26">
        <v>5.7999999999999989</v>
      </c>
      <c r="J156" s="11">
        <v>35052.199999999997</v>
      </c>
      <c r="K156" s="12">
        <v>82</v>
      </c>
      <c r="L156" s="12">
        <v>2.13</v>
      </c>
      <c r="M156" s="12">
        <v>16.399999999999999</v>
      </c>
      <c r="N156" s="12">
        <v>7.44</v>
      </c>
      <c r="O156" s="12">
        <v>1.1000000000000005</v>
      </c>
      <c r="P156" s="35">
        <v>18.3</v>
      </c>
      <c r="Q156" s="13">
        <v>4.5</v>
      </c>
    </row>
    <row r="157" spans="1:17" ht="15.75" thickTop="1"/>
    <row r="158" spans="1:17">
      <c r="A158" s="36" t="s">
        <v>51</v>
      </c>
      <c r="B158">
        <f>AVERAGE(B146:B156)</f>
        <v>19391.345454545455</v>
      </c>
      <c r="C158">
        <f t="shared" ref="C158:Q158" si="6">AVERAGE(C146:C156)</f>
        <v>76.727272727272734</v>
      </c>
      <c r="D158">
        <f t="shared" si="6"/>
        <v>1.1752272727272726</v>
      </c>
      <c r="E158">
        <f t="shared" si="6"/>
        <v>18.290909090909089</v>
      </c>
      <c r="F158">
        <f t="shared" si="6"/>
        <v>9.2963636363636351</v>
      </c>
      <c r="G158">
        <f t="shared" si="6"/>
        <v>7.2840909090909092</v>
      </c>
      <c r="H158">
        <f t="shared" si="6"/>
        <v>17.563636363636366</v>
      </c>
      <c r="I158">
        <f t="shared" si="6"/>
        <v>6.8545454545454536</v>
      </c>
      <c r="J158">
        <f t="shared" si="6"/>
        <v>30786.58090909091</v>
      </c>
      <c r="K158">
        <f t="shared" si="6"/>
        <v>78.027272727272731</v>
      </c>
      <c r="L158">
        <f t="shared" si="6"/>
        <v>1.3018181818181818</v>
      </c>
      <c r="M158">
        <f t="shared" si="6"/>
        <v>15.81818181818182</v>
      </c>
      <c r="N158">
        <f t="shared" si="6"/>
        <v>9.1063636363636373</v>
      </c>
      <c r="O158">
        <f t="shared" si="6"/>
        <v>1.9181818181818187</v>
      </c>
      <c r="P158">
        <f t="shared" si="6"/>
        <v>10.536363636363637</v>
      </c>
      <c r="Q158">
        <f t="shared" si="6"/>
        <v>3.2636363636363641</v>
      </c>
    </row>
    <row r="159" spans="1:17">
      <c r="A159" s="36" t="s">
        <v>127</v>
      </c>
      <c r="B159">
        <f>_xlfn.STDEV.P(B146:B156)</f>
        <v>3106.1215006861376</v>
      </c>
      <c r="C159">
        <f t="shared" ref="C159:P159" si="7">_xlfn.STDEV.P(C146:C156)</f>
        <v>1.9273584886578983</v>
      </c>
      <c r="D159">
        <f t="shared" si="7"/>
        <v>0.48288956782140591</v>
      </c>
      <c r="E159">
        <f t="shared" si="7"/>
        <v>4.6928290644449389</v>
      </c>
      <c r="F159">
        <f t="shared" si="7"/>
        <v>4.0616438067884761</v>
      </c>
      <c r="G159">
        <f t="shared" si="7"/>
        <v>2.4459212971262057</v>
      </c>
      <c r="H159">
        <f t="shared" si="7"/>
        <v>9.6047594950981257</v>
      </c>
      <c r="I159">
        <f>_xlfn.STDEV.P(I146:I156)</f>
        <v>3.0870296509939301</v>
      </c>
      <c r="J159">
        <f t="shared" si="7"/>
        <v>3250.7460515743783</v>
      </c>
      <c r="K159">
        <f t="shared" si="7"/>
        <v>1.8186363068323828</v>
      </c>
      <c r="L159">
        <f t="shared" si="7"/>
        <v>0.48209426052698223</v>
      </c>
      <c r="M159">
        <f t="shared" si="7"/>
        <v>3.1106322601444183</v>
      </c>
      <c r="N159">
        <f t="shared" si="7"/>
        <v>2.7531470347660889</v>
      </c>
      <c r="O159">
        <f t="shared" si="7"/>
        <v>1.4652447402261275</v>
      </c>
      <c r="P159">
        <f t="shared" si="7"/>
        <v>6.1173780371648441</v>
      </c>
      <c r="Q159">
        <f>_xlfn.STDEV.P(Q146:Q156)</f>
        <v>2.0446260948566102</v>
      </c>
    </row>
    <row r="161" spans="1:17" ht="15.75" thickBot="1">
      <c r="A161" s="36" t="s">
        <v>128</v>
      </c>
    </row>
    <row r="162" spans="1:17" ht="15.75" thickBot="1">
      <c r="B162" s="231">
        <v>2015</v>
      </c>
      <c r="C162" s="231"/>
      <c r="D162" s="231"/>
      <c r="E162" s="231"/>
      <c r="F162" s="231"/>
      <c r="G162" s="231"/>
      <c r="H162" s="231"/>
      <c r="I162" s="231"/>
      <c r="J162" s="231">
        <v>2023</v>
      </c>
      <c r="K162" s="231"/>
      <c r="L162" s="231"/>
      <c r="M162" s="231"/>
      <c r="N162" s="231"/>
      <c r="O162" s="231"/>
      <c r="P162" s="231"/>
      <c r="Q162" s="231"/>
    </row>
    <row r="163" spans="1:17" ht="15.75" thickBot="1">
      <c r="B163" s="47" t="s">
        <v>43</v>
      </c>
      <c r="C163" s="48" t="s">
        <v>44</v>
      </c>
      <c r="D163" s="48" t="s">
        <v>45</v>
      </c>
      <c r="E163" s="48" t="s">
        <v>46</v>
      </c>
      <c r="F163" s="48" t="s">
        <v>47</v>
      </c>
      <c r="G163" s="48" t="s">
        <v>48</v>
      </c>
      <c r="H163" s="48" t="s">
        <v>49</v>
      </c>
      <c r="I163" s="48" t="s">
        <v>50</v>
      </c>
      <c r="J163" s="47" t="s">
        <v>43</v>
      </c>
      <c r="K163" s="48" t="s">
        <v>44</v>
      </c>
      <c r="L163" s="48" t="s">
        <v>45</v>
      </c>
      <c r="M163" s="48" t="s">
        <v>46</v>
      </c>
      <c r="N163" s="48" t="s">
        <v>47</v>
      </c>
      <c r="O163" s="48" t="s">
        <v>48</v>
      </c>
      <c r="P163" s="48" t="s">
        <v>49</v>
      </c>
      <c r="Q163" s="48" t="s">
        <v>50</v>
      </c>
    </row>
    <row r="164" spans="1:17" ht="16.5" thickTop="1">
      <c r="A164" s="81" t="s">
        <v>11</v>
      </c>
      <c r="B164" s="44">
        <f>(B146-B$158)/B$159</f>
        <v>-1.8690014068229666</v>
      </c>
      <c r="C164" s="22">
        <f t="shared" ref="C164:H164" si="8">(C146-C$158)/C$159</f>
        <v>-1.0518399868020438</v>
      </c>
      <c r="D164" s="22">
        <f t="shared" si="8"/>
        <v>-0.46641569364068702</v>
      </c>
      <c r="E164" s="22">
        <f t="shared" si="8"/>
        <v>0.83299239230936528</v>
      </c>
      <c r="F164" s="22">
        <f t="shared" si="8"/>
        <v>-1.3187674476553592</v>
      </c>
      <c r="G164" s="22">
        <f t="shared" si="8"/>
        <v>-0.48410834415732729</v>
      </c>
      <c r="H164" s="22">
        <f t="shared" si="8"/>
        <v>-1.7037007925068495</v>
      </c>
      <c r="I164" s="22">
        <f>(I146-I$158)/I$159</f>
        <v>-8.2456433310738694E-2</v>
      </c>
      <c r="J164" s="22">
        <f>(J146-J$158)/J$159</f>
        <v>-1.9385368186601104</v>
      </c>
      <c r="K164" s="22">
        <f t="shared" ref="K164:Q164" si="9">(K146-K$158)/K$159</f>
        <v>-1.2246938647959225</v>
      </c>
      <c r="L164" s="22">
        <f t="shared" si="9"/>
        <v>-1.0616558290047011</v>
      </c>
      <c r="M164" s="22">
        <f t="shared" si="9"/>
        <v>0.92644129579122414</v>
      </c>
      <c r="N164" s="22">
        <f t="shared" si="9"/>
        <v>-1.3171703474499457</v>
      </c>
      <c r="O164" s="22">
        <f t="shared" si="9"/>
        <v>0.46532716555799314</v>
      </c>
      <c r="P164" s="22">
        <f t="shared" si="9"/>
        <v>-1.3954284964085519</v>
      </c>
      <c r="Q164" s="23">
        <f t="shared" si="9"/>
        <v>0.26232847057605951</v>
      </c>
    </row>
    <row r="165" spans="1:17">
      <c r="A165" s="45" t="s">
        <v>12</v>
      </c>
      <c r="B165" s="45">
        <f t="shared" ref="B165:Q173" si="10">(B147-B$158)/B$159</f>
        <v>-0.74264495256734164</v>
      </c>
      <c r="C165">
        <f t="shared" si="10"/>
        <v>0.40092555550750142</v>
      </c>
      <c r="D165">
        <f t="shared" si="10"/>
        <v>-0.73562838462199187</v>
      </c>
      <c r="E165">
        <f t="shared" si="10"/>
        <v>0.44942845352505284</v>
      </c>
      <c r="F165">
        <f t="shared" si="10"/>
        <v>-0.67124636380149705</v>
      </c>
      <c r="G165">
        <f t="shared" si="10"/>
        <v>-2.1910316228847933</v>
      </c>
      <c r="H165">
        <f t="shared" si="10"/>
        <v>0.26407362283856156</v>
      </c>
      <c r="I165">
        <f t="shared" si="10"/>
        <v>0.88935153070868389</v>
      </c>
      <c r="J165">
        <f t="shared" si="10"/>
        <v>-0.23301755876133523</v>
      </c>
      <c r="K165">
        <f t="shared" si="10"/>
        <v>0.31492127951894544</v>
      </c>
      <c r="L165">
        <f t="shared" si="10"/>
        <v>0.18291405934894492</v>
      </c>
      <c r="M165">
        <f t="shared" si="10"/>
        <v>-0.19873188679433304</v>
      </c>
      <c r="N165">
        <f t="shared" si="10"/>
        <v>-0.8195579850515835</v>
      </c>
      <c r="O165">
        <f t="shared" si="10"/>
        <v>-0.76313655151510851</v>
      </c>
      <c r="P165">
        <f t="shared" si="10"/>
        <v>0.1248306642154615</v>
      </c>
      <c r="Q165" s="24">
        <f t="shared" si="10"/>
        <v>0.50687196009611524</v>
      </c>
    </row>
    <row r="166" spans="1:17">
      <c r="A166" s="45" t="s">
        <v>13</v>
      </c>
      <c r="B166" s="45">
        <f t="shared" si="10"/>
        <v>1.6780588088080792</v>
      </c>
      <c r="C166">
        <f t="shared" si="10"/>
        <v>1.0235393593544515</v>
      </c>
      <c r="D166">
        <f t="shared" si="10"/>
        <v>1.5216164859135641</v>
      </c>
      <c r="E166">
        <f t="shared" si="10"/>
        <v>-1.2553001632941125</v>
      </c>
      <c r="F166">
        <f t="shared" si="10"/>
        <v>1.4781297054168359</v>
      </c>
      <c r="G166">
        <f t="shared" si="10"/>
        <v>1.5601111513246682</v>
      </c>
      <c r="H166">
        <f t="shared" si="10"/>
        <v>1.4509851749516665</v>
      </c>
      <c r="I166">
        <f t="shared" si="10"/>
        <v>-1.2486259901340457</v>
      </c>
      <c r="J166">
        <f t="shared" si="10"/>
        <v>1.1929320314119782</v>
      </c>
      <c r="K166">
        <f t="shared" si="10"/>
        <v>1.0297425965222839</v>
      </c>
      <c r="L166">
        <f t="shared" si="10"/>
        <v>1.0748558126690586</v>
      </c>
      <c r="M166">
        <f t="shared" si="10"/>
        <v>-0.77739238069547634</v>
      </c>
      <c r="N166">
        <f t="shared" si="10"/>
        <v>1.8482980746681044</v>
      </c>
      <c r="O166">
        <f t="shared" si="10"/>
        <v>1.6255428983492559</v>
      </c>
      <c r="P166">
        <f t="shared" si="10"/>
        <v>1.5470085886701834</v>
      </c>
      <c r="Q166" s="24">
        <f t="shared" si="10"/>
        <v>-1.4005672581603195</v>
      </c>
    </row>
    <row r="167" spans="1:17">
      <c r="A167" s="45" t="s">
        <v>15</v>
      </c>
      <c r="B167" s="45">
        <f t="shared" si="10"/>
        <v>0.6461609904864285</v>
      </c>
      <c r="C167">
        <f t="shared" si="10"/>
        <v>0.66034797377706334</v>
      </c>
      <c r="D167">
        <f t="shared" si="10"/>
        <v>0.54830906467346208</v>
      </c>
      <c r="E167">
        <f t="shared" si="10"/>
        <v>1.9371916100222885E-3</v>
      </c>
      <c r="F167">
        <f t="shared" si="10"/>
        <v>1.7194113260163737</v>
      </c>
      <c r="G167">
        <f t="shared" si="10"/>
        <v>1.028614082499349</v>
      </c>
      <c r="H167">
        <f t="shared" si="10"/>
        <v>0.34736566158334053</v>
      </c>
      <c r="I167">
        <f t="shared" si="10"/>
        <v>-2.2204339541534686</v>
      </c>
      <c r="J167">
        <f t="shared" si="10"/>
        <v>-6.2502854996164689E-2</v>
      </c>
      <c r="K167">
        <f t="shared" si="10"/>
        <v>0.58985255528945779</v>
      </c>
      <c r="L167">
        <f t="shared" si="10"/>
        <v>1.0955986441416192</v>
      </c>
      <c r="M167">
        <f t="shared" si="10"/>
        <v>0.54066763319046196</v>
      </c>
      <c r="N167">
        <f t="shared" si="10"/>
        <v>0.61153158272180907</v>
      </c>
      <c r="O167">
        <f t="shared" si="10"/>
        <v>-0.967880504360626</v>
      </c>
      <c r="P167">
        <f t="shared" si="10"/>
        <v>-0.44730988010540385</v>
      </c>
      <c r="Q167" s="24">
        <f t="shared" si="10"/>
        <v>-1.5962020497763643</v>
      </c>
    </row>
    <row r="168" spans="1:17">
      <c r="A168" s="45" t="s">
        <v>16</v>
      </c>
      <c r="B168" s="45">
        <f t="shared" si="10"/>
        <v>0.43457879711285113</v>
      </c>
      <c r="C168">
        <f t="shared" si="10"/>
        <v>-1.1037244704559606</v>
      </c>
      <c r="D168">
        <f t="shared" si="10"/>
        <v>-1.1083844182884139</v>
      </c>
      <c r="E168">
        <f t="shared" si="10"/>
        <v>-0.95697265535075837</v>
      </c>
      <c r="F168">
        <f t="shared" si="10"/>
        <v>-0.67617047850761014</v>
      </c>
      <c r="G168">
        <f t="shared" si="10"/>
        <v>-7.5264445060928192E-2</v>
      </c>
      <c r="H168">
        <f t="shared" si="10"/>
        <v>-0.2565016193163091</v>
      </c>
      <c r="I168">
        <f t="shared" si="10"/>
        <v>1.0189259259112737</v>
      </c>
      <c r="J168">
        <f t="shared" si="10"/>
        <v>0.76204632770663339</v>
      </c>
      <c r="K168">
        <f t="shared" si="10"/>
        <v>-0.23494127202207934</v>
      </c>
      <c r="L168">
        <f t="shared" si="10"/>
        <v>-0.99942733458701905</v>
      </c>
      <c r="M168">
        <f t="shared" si="10"/>
        <v>-1.3560528745966203</v>
      </c>
      <c r="N168">
        <f t="shared" si="10"/>
        <v>-0.47813052471986023</v>
      </c>
      <c r="O168">
        <f t="shared" si="10"/>
        <v>-1.3091204257698208</v>
      </c>
      <c r="P168">
        <f t="shared" si="10"/>
        <v>-0.46365675280028568</v>
      </c>
      <c r="Q168" s="24">
        <f t="shared" si="10"/>
        <v>0.89814154332820439</v>
      </c>
    </row>
    <row r="169" spans="1:17">
      <c r="A169" s="45" t="s">
        <v>17</v>
      </c>
      <c r="B169" s="45">
        <f t="shared" si="10"/>
        <v>-0.65591299441937756</v>
      </c>
      <c r="C169">
        <f t="shared" si="10"/>
        <v>-0.99995550314813442</v>
      </c>
      <c r="D169">
        <f t="shared" si="10"/>
        <v>-0.28003767680747577</v>
      </c>
      <c r="E169">
        <f t="shared" si="10"/>
        <v>-0.57340871656644632</v>
      </c>
      <c r="F169">
        <f t="shared" si="10"/>
        <v>5.7522612703229524E-2</v>
      </c>
      <c r="G169">
        <f t="shared" si="10"/>
        <v>-0.40233956433804774</v>
      </c>
      <c r="H169">
        <f t="shared" si="10"/>
        <v>-0.31897064837489375</v>
      </c>
      <c r="I169">
        <f t="shared" si="10"/>
        <v>0.56541554270220973</v>
      </c>
      <c r="J169">
        <f t="shared" si="10"/>
        <v>-1.1046943846480111</v>
      </c>
      <c r="K169">
        <f t="shared" si="10"/>
        <v>-1.3346663751041288</v>
      </c>
      <c r="L169">
        <f t="shared" si="10"/>
        <v>-0.52234221071812104</v>
      </c>
      <c r="M169">
        <f t="shared" si="10"/>
        <v>5.8450554939508841E-2</v>
      </c>
      <c r="N169">
        <f>(N151-N$158)/N$159</f>
        <v>-0.14759968546255403</v>
      </c>
      <c r="O169">
        <f t="shared" si="10"/>
        <v>-1.0361284886424647</v>
      </c>
      <c r="P169">
        <f t="shared" si="10"/>
        <v>-0.67616609783374981</v>
      </c>
      <c r="Q169" s="24">
        <f t="shared" si="10"/>
        <v>-0.76475418540817452</v>
      </c>
    </row>
    <row r="170" spans="1:17">
      <c r="A170" s="45" t="s">
        <v>18</v>
      </c>
      <c r="B170" s="45">
        <f t="shared" si="10"/>
        <v>-7.2261997930523703E-3</v>
      </c>
      <c r="C170">
        <f t="shared" si="10"/>
        <v>-0.53299515026291999</v>
      </c>
      <c r="D170">
        <f t="shared" si="10"/>
        <v>0.3412223793032278</v>
      </c>
      <c r="E170">
        <f t="shared" si="10"/>
        <v>0.76906506917864637</v>
      </c>
      <c r="F170">
        <f t="shared" si="10"/>
        <v>1.2762410024662019</v>
      </c>
      <c r="G170">
        <f t="shared" si="10"/>
        <v>0.9468453026800695</v>
      </c>
      <c r="H170">
        <f t="shared" si="10"/>
        <v>-0.38143967743347834</v>
      </c>
      <c r="I170">
        <f t="shared" si="10"/>
        <v>0.50062834510091447</v>
      </c>
      <c r="J170">
        <f t="shared" si="10"/>
        <v>-0.4502292353418621</v>
      </c>
      <c r="K170">
        <f t="shared" si="10"/>
        <v>-0.72981756840899692</v>
      </c>
      <c r="L170">
        <f t="shared" si="10"/>
        <v>0.16217122787638413</v>
      </c>
      <c r="M170">
        <f t="shared" si="10"/>
        <v>0.73355446449084361</v>
      </c>
      <c r="N170">
        <f t="shared" si="10"/>
        <v>1.8482980746681044</v>
      </c>
      <c r="O170">
        <f t="shared" si="10"/>
        <v>0.60182313412167121</v>
      </c>
      <c r="P170">
        <f t="shared" si="10"/>
        <v>0.28829939116428016</v>
      </c>
      <c r="Q170" s="24">
        <f t="shared" si="10"/>
        <v>0.55578065800012666</v>
      </c>
    </row>
    <row r="171" spans="1:17">
      <c r="A171" s="45" t="s">
        <v>19</v>
      </c>
      <c r="B171" s="45">
        <f t="shared" si="10"/>
        <v>5.2330681368880127E-3</v>
      </c>
      <c r="C171">
        <f t="shared" si="10"/>
        <v>0.40092555550750142</v>
      </c>
      <c r="D171">
        <f t="shared" si="10"/>
        <v>-0.36287235095556969</v>
      </c>
      <c r="E171">
        <f t="shared" si="10"/>
        <v>-0.65864514740740476</v>
      </c>
      <c r="F171">
        <f t="shared" si="10"/>
        <v>-0.33886862113886834</v>
      </c>
      <c r="G171">
        <f t="shared" si="10"/>
        <v>0.49711701367403066</v>
      </c>
      <c r="H171">
        <f t="shared" si="10"/>
        <v>0.46189221485741228</v>
      </c>
      <c r="I171">
        <f t="shared" si="10"/>
        <v>-0.6007540141210973</v>
      </c>
      <c r="J171">
        <f t="shared" si="10"/>
        <v>-0.37360067191428947</v>
      </c>
      <c r="K171">
        <f t="shared" si="10"/>
        <v>0.20494876921074673</v>
      </c>
      <c r="L171">
        <f t="shared" si="10"/>
        <v>0.53554219438247841</v>
      </c>
      <c r="M171">
        <f t="shared" si="10"/>
        <v>-1.2274616537296994</v>
      </c>
      <c r="N171">
        <f t="shared" si="10"/>
        <v>1.2217423628891303E-2</v>
      </c>
      <c r="O171">
        <f t="shared" si="10"/>
        <v>1.4890469297855777</v>
      </c>
      <c r="P171">
        <f t="shared" si="10"/>
        <v>0.8440930627902633</v>
      </c>
      <c r="Q171" s="24">
        <f t="shared" si="10"/>
        <v>-1.1560237686402637</v>
      </c>
    </row>
    <row r="172" spans="1:17">
      <c r="A172" s="45" t="s">
        <v>20</v>
      </c>
      <c r="B172" s="45">
        <f t="shared" si="10"/>
        <v>-1.2388264443922912</v>
      </c>
      <c r="C172">
        <f t="shared" si="10"/>
        <v>-0.94807101949421757</v>
      </c>
      <c r="D172">
        <f t="shared" si="10"/>
        <v>-1.4190144463437657</v>
      </c>
      <c r="E172">
        <f t="shared" si="10"/>
        <v>2.367248147446614</v>
      </c>
      <c r="F172">
        <f t="shared" si="10"/>
        <v>-0.70571516674428825</v>
      </c>
      <c r="G172">
        <f t="shared" si="10"/>
        <v>0.21092628430655089</v>
      </c>
      <c r="H172">
        <f t="shared" si="10"/>
        <v>-1.8286388506240185</v>
      </c>
      <c r="I172">
        <f t="shared" si="10"/>
        <v>1.2456811175158053</v>
      </c>
      <c r="J172">
        <f t="shared" si="10"/>
        <v>-0.41679075744311761</v>
      </c>
      <c r="K172">
        <f t="shared" si="10"/>
        <v>-0.89477633387130284</v>
      </c>
      <c r="L172">
        <f t="shared" si="10"/>
        <v>-1.6217122787638421</v>
      </c>
      <c r="M172">
        <f t="shared" si="10"/>
        <v>2.0837622835935119</v>
      </c>
      <c r="N172">
        <f t="shared" si="10"/>
        <v>-7.8587751991247831E-2</v>
      </c>
      <c r="O172">
        <f t="shared" si="10"/>
        <v>-0.42189663010591361</v>
      </c>
      <c r="P172">
        <f t="shared" si="10"/>
        <v>-1.7223659503061892</v>
      </c>
      <c r="Q172" s="24">
        <f t="shared" si="10"/>
        <v>1.5828633139843606</v>
      </c>
    </row>
    <row r="173" spans="1:17">
      <c r="A173" s="45" t="s">
        <v>21</v>
      </c>
      <c r="B173" s="45">
        <f t="shared" si="10"/>
        <v>0.73778651123219807</v>
      </c>
      <c r="C173">
        <f t="shared" si="10"/>
        <v>-1.4150313723796163E-2</v>
      </c>
      <c r="D173">
        <f t="shared" si="10"/>
        <v>-5.2242322900218095E-2</v>
      </c>
      <c r="E173">
        <f t="shared" si="10"/>
        <v>-0.78649979366884204</v>
      </c>
      <c r="F173">
        <f t="shared" si="10"/>
        <v>-0.97161736087439132</v>
      </c>
      <c r="G173">
        <f t="shared" si="10"/>
        <v>-3.4380055151288426E-2</v>
      </c>
      <c r="H173">
        <f t="shared" si="10"/>
        <v>1.0032904666984777</v>
      </c>
      <c r="I173">
        <f t="shared" si="10"/>
        <v>0.2738731534963828</v>
      </c>
      <c r="J173">
        <f t="shared" si="10"/>
        <v>1.3121969613231379</v>
      </c>
      <c r="K173">
        <f t="shared" si="10"/>
        <v>9.4976258902540217E-2</v>
      </c>
      <c r="L173">
        <f t="shared" si="10"/>
        <v>-0.56382787366324272</v>
      </c>
      <c r="M173">
        <f t="shared" si="10"/>
        <v>-0.97027921199585754</v>
      </c>
      <c r="N173">
        <f t="shared" si="10"/>
        <v>-0.87404109042366673</v>
      </c>
      <c r="O173">
        <f t="shared" si="10"/>
        <v>0.8748150712490268</v>
      </c>
      <c r="P173">
        <f t="shared" si="10"/>
        <v>0.63158371775679922</v>
      </c>
      <c r="Q173" s="24">
        <f t="shared" si="10"/>
        <v>0.50687196009611524</v>
      </c>
    </row>
    <row r="174" spans="1:17" ht="15.75" thickBot="1">
      <c r="A174" s="46" t="s">
        <v>22</v>
      </c>
      <c r="B174" s="46">
        <f>(B156-B$158)/B$159</f>
        <v>1.0117938222185814</v>
      </c>
      <c r="C174" s="25">
        <f t="shared" ref="C174:H174" si="11">(C156-C$158)/C$159</f>
        <v>2.1649979997405255</v>
      </c>
      <c r="D174" s="25">
        <f t="shared" si="11"/>
        <v>2.0134473636678711</v>
      </c>
      <c r="E174" s="25">
        <f t="shared" si="11"/>
        <v>-0.18984477778213429</v>
      </c>
      <c r="F174" s="25">
        <f t="shared" si="11"/>
        <v>0.15108079211937708</v>
      </c>
      <c r="G174" s="25">
        <f t="shared" si="11"/>
        <v>-1.0564898028922862</v>
      </c>
      <c r="H174" s="25">
        <f t="shared" si="11"/>
        <v>0.96164444732608811</v>
      </c>
      <c r="I174" s="25">
        <f>(I156-I$158)/I$159</f>
        <v>-0.34160522371591828</v>
      </c>
      <c r="J174" s="25">
        <f t="shared" ref="J174:P174" si="12">(J156-J$158)/J$159</f>
        <v>1.3121969613231379</v>
      </c>
      <c r="K174" s="25">
        <f t="shared" si="12"/>
        <v>2.1844539547584327</v>
      </c>
      <c r="L174" s="25">
        <f t="shared" si="12"/>
        <v>1.7178835883184422</v>
      </c>
      <c r="M174" s="25">
        <f t="shared" si="12"/>
        <v>0.18704177580642919</v>
      </c>
      <c r="N174" s="25">
        <f t="shared" si="12"/>
        <v>-0.60525777058805486</v>
      </c>
      <c r="O174" s="25">
        <f t="shared" si="12"/>
        <v>-0.55839259866959168</v>
      </c>
      <c r="P174" s="25">
        <f t="shared" si="12"/>
        <v>1.269111752857192</v>
      </c>
      <c r="Q174" s="26">
        <f>(Q156-Q$158)/Q$159</f>
        <v>0.60468935590413764</v>
      </c>
    </row>
    <row r="175" spans="1:17" ht="15.75" thickTop="1"/>
    <row r="176" spans="1:17">
      <c r="A176" s="36" t="s">
        <v>51</v>
      </c>
      <c r="B176" s="19">
        <f>AVERAGE(B164:B174)</f>
        <v>-2.6241635127503701E-16</v>
      </c>
      <c r="C176" s="19">
        <f t="shared" ref="C176:Q176" si="13">AVERAGE(C164:C174)</f>
        <v>-2.6645352591003757E-15</v>
      </c>
      <c r="D176" s="19">
        <f t="shared" si="13"/>
        <v>0</v>
      </c>
      <c r="E176" s="19">
        <f t="shared" si="13"/>
        <v>2.2961430736565739E-16</v>
      </c>
      <c r="F176" s="19">
        <f t="shared" si="13"/>
        <v>3.5325278056254979E-16</v>
      </c>
      <c r="G176" s="19">
        <f t="shared" si="13"/>
        <v>-2.8260222445003984E-16</v>
      </c>
      <c r="H176" s="19">
        <f t="shared" si="13"/>
        <v>-2.4223047810003414E-16</v>
      </c>
      <c r="I176" s="19">
        <f t="shared" si="13"/>
        <v>1.3625464393126921E-16</v>
      </c>
      <c r="J176" s="19">
        <f t="shared" si="13"/>
        <v>-2.8260222445003984E-16</v>
      </c>
      <c r="K176" s="19">
        <f t="shared" si="13"/>
        <v>-2.0993308102002961E-15</v>
      </c>
      <c r="L176" s="19">
        <f t="shared" si="13"/>
        <v>0</v>
      </c>
      <c r="M176" s="19">
        <f t="shared" si="13"/>
        <v>-6.4847117574696642E-16</v>
      </c>
      <c r="N176" s="19">
        <f t="shared" si="13"/>
        <v>-3.5325278056254979E-16</v>
      </c>
      <c r="O176" s="19">
        <f t="shared" si="13"/>
        <v>0</v>
      </c>
      <c r="P176" s="19">
        <f t="shared" si="13"/>
        <v>0</v>
      </c>
      <c r="Q176" s="19">
        <f t="shared" si="13"/>
        <v>-2.0185873175002846E-16</v>
      </c>
    </row>
    <row r="177" spans="1:17">
      <c r="A177" s="36" t="s">
        <v>52</v>
      </c>
      <c r="B177">
        <f>_xlfn.STDEV.P(B164:B174)</f>
        <v>1.0000000000000047</v>
      </c>
      <c r="C177">
        <f t="shared" ref="C177:Q177" si="14">_xlfn.STDEV.P(C164:C174)</f>
        <v>1</v>
      </c>
      <c r="D177">
        <f t="shared" si="14"/>
        <v>0.99999999999999911</v>
      </c>
      <c r="E177">
        <f t="shared" si="14"/>
        <v>1</v>
      </c>
      <c r="F177">
        <f t="shared" si="14"/>
        <v>0.99999999999999878</v>
      </c>
      <c r="G177">
        <f t="shared" si="14"/>
        <v>0.99999999999999967</v>
      </c>
      <c r="H177">
        <f t="shared" si="14"/>
        <v>1.0000000000000004</v>
      </c>
      <c r="I177">
        <f t="shared" si="14"/>
        <v>1</v>
      </c>
      <c r="J177">
        <f t="shared" si="14"/>
        <v>1.0000000000000018</v>
      </c>
      <c r="K177">
        <f t="shared" si="14"/>
        <v>1</v>
      </c>
      <c r="L177">
        <f t="shared" si="14"/>
        <v>1</v>
      </c>
      <c r="M177">
        <f t="shared" si="14"/>
        <v>1.0000000000000036</v>
      </c>
      <c r="N177">
        <f t="shared" si="14"/>
        <v>1.0000000000000009</v>
      </c>
      <c r="O177">
        <f t="shared" si="14"/>
        <v>0.99999999999999967</v>
      </c>
      <c r="P177">
        <f t="shared" si="14"/>
        <v>0.99999999999999967</v>
      </c>
      <c r="Q177">
        <f t="shared" si="14"/>
        <v>1.0000000000000004</v>
      </c>
    </row>
    <row r="178" spans="1:17">
      <c r="A178" s="36" t="s">
        <v>129</v>
      </c>
      <c r="B178">
        <f>IFERROR(B177/B176,0)</f>
        <v>-3810738146236591</v>
      </c>
      <c r="C178">
        <f t="shared" ref="C178:Q178" si="15">IFERROR(C177/C176,0)</f>
        <v>-375299968947541.31</v>
      </c>
      <c r="D178">
        <f t="shared" si="15"/>
        <v>0</v>
      </c>
      <c r="E178">
        <f t="shared" si="15"/>
        <v>4355129309984655</v>
      </c>
      <c r="F178">
        <f t="shared" si="15"/>
        <v>2830834051490022.5</v>
      </c>
      <c r="G178">
        <f t="shared" si="15"/>
        <v>-3538542564362531.5</v>
      </c>
      <c r="H178">
        <f t="shared" si="15"/>
        <v>-4128299658422957</v>
      </c>
      <c r="I178">
        <f t="shared" si="15"/>
        <v>7339199392751919</v>
      </c>
      <c r="J178">
        <f t="shared" si="15"/>
        <v>-3538542564362539</v>
      </c>
      <c r="K178">
        <f t="shared" si="15"/>
        <v>-476342268279571.69</v>
      </c>
      <c r="L178">
        <f t="shared" si="15"/>
        <v>0</v>
      </c>
      <c r="M178">
        <f t="shared" si="15"/>
        <v>-1542088588360331</v>
      </c>
      <c r="N178">
        <f t="shared" si="15"/>
        <v>-2830834051490028.5</v>
      </c>
      <c r="O178">
        <f t="shared" si="15"/>
        <v>0</v>
      </c>
      <c r="P178">
        <f t="shared" si="15"/>
        <v>0</v>
      </c>
      <c r="Q178">
        <f t="shared" si="15"/>
        <v>-4953959590107548</v>
      </c>
    </row>
    <row r="180" spans="1:17">
      <c r="B180" s="36" t="s">
        <v>130</v>
      </c>
    </row>
  </sheetData>
  <mergeCells count="48">
    <mergeCell ref="J91:J92"/>
    <mergeCell ref="J93:J94"/>
    <mergeCell ref="B110:C110"/>
    <mergeCell ref="B125:C125"/>
    <mergeCell ref="B90:E90"/>
    <mergeCell ref="B91:C91"/>
    <mergeCell ref="D91:E91"/>
    <mergeCell ref="N72:O72"/>
    <mergeCell ref="J74:J75"/>
    <mergeCell ref="J76:J77"/>
    <mergeCell ref="L89:M89"/>
    <mergeCell ref="N89:O89"/>
    <mergeCell ref="B38:G38"/>
    <mergeCell ref="B39:D39"/>
    <mergeCell ref="E39:G39"/>
    <mergeCell ref="B54:G54"/>
    <mergeCell ref="L72:M72"/>
    <mergeCell ref="B73:E73"/>
    <mergeCell ref="B74:C74"/>
    <mergeCell ref="D74:E74"/>
    <mergeCell ref="E55:G55"/>
    <mergeCell ref="J40:J42"/>
    <mergeCell ref="J43:J45"/>
    <mergeCell ref="J56:J58"/>
    <mergeCell ref="J59:J61"/>
    <mergeCell ref="J24:J26"/>
    <mergeCell ref="O19:Q19"/>
    <mergeCell ref="L19:N19"/>
    <mergeCell ref="O38:Q38"/>
    <mergeCell ref="L54:N54"/>
    <mergeCell ref="O54:Q54"/>
    <mergeCell ref="L38:N38"/>
    <mergeCell ref="B162:I162"/>
    <mergeCell ref="J162:Q162"/>
    <mergeCell ref="B3:G3"/>
    <mergeCell ref="B4:D4"/>
    <mergeCell ref="E4:G4"/>
    <mergeCell ref="B19:G19"/>
    <mergeCell ref="B20:D20"/>
    <mergeCell ref="E20:G20"/>
    <mergeCell ref="J6:J8"/>
    <mergeCell ref="J9:J11"/>
    <mergeCell ref="L4:N4"/>
    <mergeCell ref="O4:Q4"/>
    <mergeCell ref="J17:J19"/>
    <mergeCell ref="L16:N16"/>
    <mergeCell ref="B55:D55"/>
    <mergeCell ref="J21:J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AB11-3517-401C-947D-959518F3B60B}">
  <dimension ref="A1:AB56"/>
  <sheetViews>
    <sheetView workbookViewId="0">
      <selection activeCell="G40" sqref="G40"/>
    </sheetView>
  </sheetViews>
  <sheetFormatPr defaultRowHeight="15"/>
  <cols>
    <col min="3" max="3" width="12.7109375" bestFit="1" customWidth="1"/>
    <col min="16" max="16" width="12.7109375" bestFit="1" customWidth="1"/>
  </cols>
  <sheetData>
    <row r="1" spans="1:28" ht="16.5" thickTop="1" thickBot="1">
      <c r="A1" s="253">
        <v>2015</v>
      </c>
      <c r="B1" s="23" t="s">
        <v>11</v>
      </c>
      <c r="C1" s="22">
        <v>-1.8690014068229666</v>
      </c>
      <c r="D1" s="22">
        <v>-1.0518399868020438</v>
      </c>
      <c r="E1" s="22">
        <v>-0.46641569364068702</v>
      </c>
      <c r="F1" s="22">
        <v>0.83299239230936528</v>
      </c>
      <c r="G1" s="22">
        <v>-1.3187674476553592</v>
      </c>
      <c r="H1" s="22">
        <v>-0.48410834415732729</v>
      </c>
      <c r="I1" s="22">
        <v>-1.7037007925068495</v>
      </c>
      <c r="J1" s="23">
        <v>-8.2456433310738694E-2</v>
      </c>
    </row>
    <row r="2" spans="1:28" ht="15.75" thickBot="1">
      <c r="A2" s="223"/>
      <c r="B2" s="24" t="s">
        <v>12</v>
      </c>
      <c r="C2">
        <v>-0.74264495256734164</v>
      </c>
      <c r="D2">
        <v>0.40092555550750142</v>
      </c>
      <c r="E2">
        <v>-0.73562838462199187</v>
      </c>
      <c r="F2">
        <v>0.44942845352505284</v>
      </c>
      <c r="G2">
        <v>-0.67124636380149705</v>
      </c>
      <c r="H2">
        <v>-2.1910316228847933</v>
      </c>
      <c r="I2">
        <v>0.26407362283856156</v>
      </c>
      <c r="J2" s="24">
        <v>0.88935153070868389</v>
      </c>
      <c r="M2" s="222" t="s">
        <v>11</v>
      </c>
      <c r="N2" s="255"/>
      <c r="O2" s="255"/>
      <c r="P2" s="256"/>
      <c r="Q2" s="222" t="s">
        <v>12</v>
      </c>
      <c r="R2" s="255"/>
      <c r="S2" s="255"/>
      <c r="T2" s="256"/>
      <c r="U2" s="222" t="s">
        <v>13</v>
      </c>
      <c r="V2" s="255"/>
      <c r="W2" s="255"/>
      <c r="X2" s="255"/>
      <c r="Y2" s="245" t="s">
        <v>15</v>
      </c>
      <c r="Z2" s="246"/>
      <c r="AA2" s="246"/>
      <c r="AB2" s="247"/>
    </row>
    <row r="3" spans="1:28">
      <c r="A3" s="223"/>
      <c r="B3" s="24" t="s">
        <v>13</v>
      </c>
      <c r="C3">
        <v>1.6780588088080792</v>
      </c>
      <c r="D3">
        <v>1.0235393593544515</v>
      </c>
      <c r="E3">
        <v>1.5216164859135641</v>
      </c>
      <c r="F3">
        <v>-1.2553001632941125</v>
      </c>
      <c r="G3">
        <v>1.4781297054168359</v>
      </c>
      <c r="H3">
        <v>1.5601111513246682</v>
      </c>
      <c r="I3">
        <v>1.4509851749516665</v>
      </c>
      <c r="J3" s="24">
        <v>-1.2486259901340457</v>
      </c>
      <c r="M3" s="85"/>
      <c r="N3" s="86">
        <v>2015</v>
      </c>
      <c r="O3" s="87">
        <v>2023</v>
      </c>
      <c r="P3" s="79" t="s">
        <v>51</v>
      </c>
      <c r="Q3" s="85"/>
      <c r="R3" s="86">
        <v>2015</v>
      </c>
      <c r="S3" s="87">
        <v>2023</v>
      </c>
      <c r="T3" s="79" t="s">
        <v>51</v>
      </c>
      <c r="U3" s="85"/>
      <c r="V3" s="86">
        <v>2015</v>
      </c>
      <c r="W3" s="87">
        <v>2023</v>
      </c>
      <c r="X3" t="s">
        <v>51</v>
      </c>
      <c r="Y3" s="88"/>
      <c r="Z3" s="86">
        <v>2015</v>
      </c>
      <c r="AA3" s="87">
        <v>2023</v>
      </c>
      <c r="AB3" s="89" t="s">
        <v>51</v>
      </c>
    </row>
    <row r="4" spans="1:28">
      <c r="A4" s="223"/>
      <c r="B4" s="24" t="s">
        <v>15</v>
      </c>
      <c r="C4">
        <v>0.6461609904864285</v>
      </c>
      <c r="D4">
        <v>0.66034797377706334</v>
      </c>
      <c r="E4">
        <v>0.54830906467346208</v>
      </c>
      <c r="F4">
        <v>1.9371916100222885E-3</v>
      </c>
      <c r="G4">
        <v>1.7194113260163737</v>
      </c>
      <c r="H4">
        <v>1.028614082499349</v>
      </c>
      <c r="I4">
        <v>0.34736566158334053</v>
      </c>
      <c r="J4" s="24">
        <v>-2.2204339541534686</v>
      </c>
      <c r="M4" s="85" t="s">
        <v>43</v>
      </c>
      <c r="N4">
        <v>-1.8690014068229666</v>
      </c>
      <c r="O4">
        <v>-1.9385368186601104</v>
      </c>
      <c r="P4" s="79">
        <f>C25</f>
        <v>-2.6241635127503701E-16</v>
      </c>
      <c r="Q4" s="85" t="s">
        <v>43</v>
      </c>
      <c r="R4">
        <v>-0.74264495256734164</v>
      </c>
      <c r="S4">
        <v>-0.23301755876133523</v>
      </c>
      <c r="T4" s="94">
        <v>-2.6241635127503701E-16</v>
      </c>
      <c r="U4" s="85" t="s">
        <v>43</v>
      </c>
      <c r="V4">
        <v>1.6780588088080792</v>
      </c>
      <c r="W4">
        <v>1.1929320314119782</v>
      </c>
      <c r="X4">
        <v>-2.6241635127503701E-16</v>
      </c>
      <c r="Y4" s="88" t="s">
        <v>43</v>
      </c>
      <c r="Z4">
        <v>0.6461609904864285</v>
      </c>
      <c r="AA4">
        <v>-6.2502854996164689E-2</v>
      </c>
      <c r="AB4" s="89">
        <v>-2.6241635127503701E-16</v>
      </c>
    </row>
    <row r="5" spans="1:28">
      <c r="A5" s="223"/>
      <c r="B5" s="24" t="s">
        <v>16</v>
      </c>
      <c r="C5">
        <v>0.43457879711285113</v>
      </c>
      <c r="D5">
        <v>-1.1037244704559606</v>
      </c>
      <c r="E5">
        <v>-1.1083844182884139</v>
      </c>
      <c r="F5">
        <v>-0.95697265535075837</v>
      </c>
      <c r="G5">
        <v>-0.67617047850761014</v>
      </c>
      <c r="H5">
        <v>-7.5264445060928192E-2</v>
      </c>
      <c r="I5">
        <v>-0.2565016193163091</v>
      </c>
      <c r="J5" s="24">
        <v>1.0189259259112737</v>
      </c>
      <c r="M5" s="85" t="s">
        <v>44</v>
      </c>
      <c r="N5">
        <v>-1.0518399868020438</v>
      </c>
      <c r="O5">
        <v>-1.2246938647959225</v>
      </c>
      <c r="P5" s="79">
        <f>D25</f>
        <v>-2.3819330346503357E-15</v>
      </c>
      <c r="Q5" s="85" t="s">
        <v>44</v>
      </c>
      <c r="R5">
        <v>0.40092555550750142</v>
      </c>
      <c r="S5">
        <v>0.31492127951894544</v>
      </c>
      <c r="T5" s="79">
        <v>-2.3819330346503357E-15</v>
      </c>
      <c r="U5" s="85" t="s">
        <v>44</v>
      </c>
      <c r="V5">
        <v>1.0235393593544515</v>
      </c>
      <c r="W5">
        <v>1.0297425965222839</v>
      </c>
      <c r="X5">
        <v>-2.3819330346503357E-15</v>
      </c>
      <c r="Y5" s="88" t="s">
        <v>44</v>
      </c>
      <c r="Z5">
        <v>0.66034797377706334</v>
      </c>
      <c r="AA5">
        <v>0.58985255528945779</v>
      </c>
      <c r="AB5" s="89">
        <v>-2.3819330346503357E-15</v>
      </c>
    </row>
    <row r="6" spans="1:28">
      <c r="A6" s="223"/>
      <c r="B6" s="24" t="s">
        <v>17</v>
      </c>
      <c r="C6">
        <v>-0.65591299441937756</v>
      </c>
      <c r="D6">
        <v>-0.99995550314813442</v>
      </c>
      <c r="E6">
        <v>-0.28003767680747577</v>
      </c>
      <c r="F6">
        <v>-0.57340871656644632</v>
      </c>
      <c r="G6">
        <v>5.7522612703229524E-2</v>
      </c>
      <c r="H6">
        <v>-0.40233956433804774</v>
      </c>
      <c r="I6">
        <v>-0.31897064837489375</v>
      </c>
      <c r="J6" s="24">
        <v>0.56541554270220973</v>
      </c>
      <c r="M6" s="85" t="s">
        <v>45</v>
      </c>
      <c r="N6">
        <v>-0.46641569364068702</v>
      </c>
      <c r="O6">
        <v>-1.0616558290047011</v>
      </c>
      <c r="P6" s="79">
        <f>E25</f>
        <v>2.1195166833752989E-16</v>
      </c>
      <c r="Q6" s="85" t="s">
        <v>45</v>
      </c>
      <c r="R6">
        <v>-0.73562838462199187</v>
      </c>
      <c r="S6">
        <v>0.18291405934894492</v>
      </c>
      <c r="T6" s="79">
        <v>2.1195166833752989E-16</v>
      </c>
      <c r="U6" s="85" t="s">
        <v>45</v>
      </c>
      <c r="V6">
        <v>1.5216164859135641</v>
      </c>
      <c r="W6">
        <v>1.0748558126690586</v>
      </c>
      <c r="X6">
        <v>2.1195166833752989E-16</v>
      </c>
      <c r="Y6" s="88" t="s">
        <v>45</v>
      </c>
      <c r="Z6">
        <v>0.54830906467346208</v>
      </c>
      <c r="AA6">
        <v>1.0955986441416192</v>
      </c>
      <c r="AB6" s="89">
        <v>2.1195166833752989E-16</v>
      </c>
    </row>
    <row r="7" spans="1:28">
      <c r="A7" s="223"/>
      <c r="B7" s="24" t="s">
        <v>18</v>
      </c>
      <c r="C7">
        <v>-7.2261997930523703E-3</v>
      </c>
      <c r="D7">
        <v>-0.53299515026291999</v>
      </c>
      <c r="E7">
        <v>0.3412223793032278</v>
      </c>
      <c r="F7">
        <v>0.76906506917864637</v>
      </c>
      <c r="G7">
        <v>1.2762410024662019</v>
      </c>
      <c r="H7">
        <v>0.9468453026800695</v>
      </c>
      <c r="I7">
        <v>-0.38143967743347834</v>
      </c>
      <c r="J7" s="24">
        <v>0.50062834510091447</v>
      </c>
      <c r="M7" s="85" t="s">
        <v>46</v>
      </c>
      <c r="N7">
        <v>0.83299239230936528</v>
      </c>
      <c r="O7">
        <v>0.92644129579122414</v>
      </c>
      <c r="P7" s="79">
        <f>F25</f>
        <v>-2.0312034882346614E-16</v>
      </c>
      <c r="Q7" s="85" t="s">
        <v>46</v>
      </c>
      <c r="R7">
        <v>0.44942845352505284</v>
      </c>
      <c r="S7">
        <v>-0.19873188679433304</v>
      </c>
      <c r="T7" s="79">
        <v>-2.0312034882346614E-16</v>
      </c>
      <c r="U7" s="85" t="s">
        <v>46</v>
      </c>
      <c r="V7">
        <v>-1.2553001632941125</v>
      </c>
      <c r="W7">
        <v>-0.77739238069547634</v>
      </c>
      <c r="X7">
        <v>-2.0312034882346614E-16</v>
      </c>
      <c r="Y7" s="88" t="s">
        <v>46</v>
      </c>
      <c r="Z7">
        <v>1.9371916100222885E-3</v>
      </c>
      <c r="AA7">
        <v>0.54066763319046196</v>
      </c>
      <c r="AB7" s="89">
        <v>-2.0312034882346614E-16</v>
      </c>
    </row>
    <row r="8" spans="1:28">
      <c r="A8" s="223"/>
      <c r="B8" s="24" t="s">
        <v>19</v>
      </c>
      <c r="C8">
        <v>5.2330681368880127E-3</v>
      </c>
      <c r="D8">
        <v>0.40092555550750142</v>
      </c>
      <c r="E8">
        <v>-0.36287235095556969</v>
      </c>
      <c r="F8">
        <v>-0.65864514740740476</v>
      </c>
      <c r="G8">
        <v>-0.33886862113886834</v>
      </c>
      <c r="H8">
        <v>0.49711701367403066</v>
      </c>
      <c r="I8">
        <v>0.46189221485741228</v>
      </c>
      <c r="J8" s="24">
        <v>-0.6007540141210973</v>
      </c>
      <c r="M8" s="85" t="s">
        <v>47</v>
      </c>
      <c r="N8">
        <v>-1.3187674476553592</v>
      </c>
      <c r="O8">
        <v>-1.3171703474499457</v>
      </c>
      <c r="P8" s="79">
        <f>G25</f>
        <v>0</v>
      </c>
      <c r="Q8" s="85" t="s">
        <v>47</v>
      </c>
      <c r="R8">
        <v>-0.67124636380149705</v>
      </c>
      <c r="S8">
        <v>-0.8195579850515835</v>
      </c>
      <c r="T8" s="79">
        <v>0</v>
      </c>
      <c r="U8" s="85" t="s">
        <v>47</v>
      </c>
      <c r="V8">
        <v>1.4781297054168359</v>
      </c>
      <c r="W8">
        <v>1.8482980746681044</v>
      </c>
      <c r="X8">
        <v>0</v>
      </c>
      <c r="Y8" s="88" t="s">
        <v>47</v>
      </c>
      <c r="Z8">
        <v>1.7194113260163737</v>
      </c>
      <c r="AA8">
        <v>0.61153158272180907</v>
      </c>
      <c r="AB8" s="89">
        <v>0</v>
      </c>
    </row>
    <row r="9" spans="1:28">
      <c r="A9" s="223"/>
      <c r="B9" s="24" t="s">
        <v>20</v>
      </c>
      <c r="C9">
        <v>-1.2388264443922912</v>
      </c>
      <c r="D9">
        <v>-0.94807101949421757</v>
      </c>
      <c r="E9">
        <v>-1.4190144463437657</v>
      </c>
      <c r="F9">
        <v>2.367248147446614</v>
      </c>
      <c r="G9">
        <v>-0.70571516674428825</v>
      </c>
      <c r="H9">
        <v>0.21092628430655089</v>
      </c>
      <c r="I9">
        <v>-1.8286388506240185</v>
      </c>
      <c r="J9" s="24">
        <v>1.2456811175158053</v>
      </c>
      <c r="M9" s="85" t="s">
        <v>48</v>
      </c>
      <c r="N9">
        <v>-0.48410834415732729</v>
      </c>
      <c r="O9">
        <v>0.46532716555799314</v>
      </c>
      <c r="P9" s="79">
        <f>H25</f>
        <v>-1.6653345369377348E-16</v>
      </c>
      <c r="Q9" s="85" t="s">
        <v>48</v>
      </c>
      <c r="R9">
        <v>-2.1910316228847933</v>
      </c>
      <c r="S9">
        <v>-0.76313655151510851</v>
      </c>
      <c r="T9" s="79">
        <v>-1.6653345369377348E-16</v>
      </c>
      <c r="U9" s="85" t="s">
        <v>48</v>
      </c>
      <c r="V9">
        <v>1.5601111513246682</v>
      </c>
      <c r="W9">
        <v>1.6255428983492559</v>
      </c>
      <c r="X9">
        <v>-1.6653345369377348E-16</v>
      </c>
      <c r="Y9" s="88" t="s">
        <v>48</v>
      </c>
      <c r="Z9">
        <v>1.028614082499349</v>
      </c>
      <c r="AA9">
        <v>-0.967880504360626</v>
      </c>
      <c r="AB9" s="89">
        <v>-1.6653345369377348E-16</v>
      </c>
    </row>
    <row r="10" spans="1:28">
      <c r="A10" s="223"/>
      <c r="B10" s="24" t="s">
        <v>21</v>
      </c>
      <c r="C10">
        <v>0.73778651123219807</v>
      </c>
      <c r="D10">
        <v>-1.4150313723796163E-2</v>
      </c>
      <c r="E10">
        <v>-5.2242322900218095E-2</v>
      </c>
      <c r="F10">
        <v>-0.78649979366884204</v>
      </c>
      <c r="G10">
        <v>-0.97161736087439132</v>
      </c>
      <c r="H10">
        <v>-3.4380055151288426E-2</v>
      </c>
      <c r="I10">
        <v>1.0032904666984777</v>
      </c>
      <c r="J10" s="24">
        <v>0.2738731534963828</v>
      </c>
      <c r="M10" s="85" t="s">
        <v>49</v>
      </c>
      <c r="N10">
        <v>-1.7037007925068495</v>
      </c>
      <c r="O10">
        <v>-1.3954284964085519</v>
      </c>
      <c r="P10" s="79">
        <f>I25</f>
        <v>-1.5139404881252134E-16</v>
      </c>
      <c r="Q10" s="85" t="s">
        <v>49</v>
      </c>
      <c r="R10">
        <v>0.26407362283856156</v>
      </c>
      <c r="S10">
        <v>0.1248306642154615</v>
      </c>
      <c r="T10" s="79">
        <v>-1.5139404881252134E-16</v>
      </c>
      <c r="U10" s="85" t="s">
        <v>49</v>
      </c>
      <c r="V10">
        <v>1.4509851749516665</v>
      </c>
      <c r="W10">
        <v>1.5470085886701834</v>
      </c>
      <c r="X10">
        <v>-1.5139404881252134E-16</v>
      </c>
      <c r="Y10" s="88" t="s">
        <v>49</v>
      </c>
      <c r="Z10">
        <v>0.34736566158334053</v>
      </c>
      <c r="AA10">
        <v>-0.44730988010540385</v>
      </c>
      <c r="AB10" s="89">
        <v>-1.5139404881252134E-16</v>
      </c>
    </row>
    <row r="11" spans="1:28" ht="15.75" thickBot="1">
      <c r="A11" s="223"/>
      <c r="B11" s="24" t="s">
        <v>22</v>
      </c>
      <c r="C11">
        <v>1.0117938222185814</v>
      </c>
      <c r="D11">
        <v>2.1649979997405255</v>
      </c>
      <c r="E11">
        <v>2.0134473636678711</v>
      </c>
      <c r="F11">
        <v>-0.18984477778213429</v>
      </c>
      <c r="G11">
        <v>0.15108079211937708</v>
      </c>
      <c r="H11">
        <v>-1.0564898028922862</v>
      </c>
      <c r="I11">
        <v>0.96164444732608811</v>
      </c>
      <c r="J11" s="24">
        <v>-0.34160522371591828</v>
      </c>
      <c r="M11" s="90" t="s">
        <v>50</v>
      </c>
      <c r="N11" s="95">
        <v>-8.2456433310738694E-2</v>
      </c>
      <c r="O11" s="95">
        <v>0.26232847057605951</v>
      </c>
      <c r="P11" s="80">
        <f>J25</f>
        <v>-4.0371746350005693E-17</v>
      </c>
      <c r="Q11" s="90" t="s">
        <v>50</v>
      </c>
      <c r="R11" s="95">
        <v>0.88935153070868389</v>
      </c>
      <c r="S11" s="95">
        <v>0.50687196009611524</v>
      </c>
      <c r="T11" s="80">
        <v>-4.0371746350005693E-17</v>
      </c>
      <c r="U11" s="90" t="s">
        <v>50</v>
      </c>
      <c r="V11" s="95">
        <v>-1.2486259901340457</v>
      </c>
      <c r="W11" s="95">
        <v>-1.4005672581603195</v>
      </c>
      <c r="X11" s="37">
        <v>-4.0371746350005693E-17</v>
      </c>
      <c r="Y11" s="91" t="s">
        <v>50</v>
      </c>
      <c r="Z11" s="26">
        <v>-2.2204339541534686</v>
      </c>
      <c r="AA11" s="25">
        <v>-1.5962020497763643</v>
      </c>
      <c r="AB11" s="92">
        <v>-4.0371746350005693E-17</v>
      </c>
    </row>
    <row r="12" spans="1:28" ht="16.5" thickTop="1" thickBot="1">
      <c r="A12" s="253">
        <v>2023</v>
      </c>
      <c r="B12" s="23" t="s">
        <v>11</v>
      </c>
      <c r="C12" s="22">
        <v>-1.9385368186601104</v>
      </c>
      <c r="D12" s="22">
        <v>-1.2246938647959225</v>
      </c>
      <c r="E12" s="22">
        <v>-1.0616558290047011</v>
      </c>
      <c r="F12" s="22">
        <v>0.92644129579122414</v>
      </c>
      <c r="G12" s="22">
        <v>-1.3171703474499457</v>
      </c>
      <c r="H12" s="22">
        <v>0.46532716555799314</v>
      </c>
      <c r="I12" s="22">
        <v>-1.3954284964085519</v>
      </c>
      <c r="J12" s="23">
        <v>0.26232847057605951</v>
      </c>
      <c r="M12" s="248" t="s">
        <v>16</v>
      </c>
      <c r="N12" s="249"/>
      <c r="O12" s="249"/>
      <c r="P12" s="250"/>
      <c r="Q12" s="248" t="s">
        <v>17</v>
      </c>
      <c r="R12" s="249"/>
      <c r="S12" s="249"/>
      <c r="T12" s="250"/>
      <c r="U12" s="248" t="s">
        <v>18</v>
      </c>
      <c r="V12" s="249"/>
      <c r="W12" s="249"/>
      <c r="X12" s="249"/>
      <c r="Y12" s="251" t="s">
        <v>19</v>
      </c>
      <c r="Z12" s="249"/>
      <c r="AA12" s="249"/>
      <c r="AB12" s="252"/>
    </row>
    <row r="13" spans="1:28">
      <c r="A13" s="223"/>
      <c r="B13" s="24" t="s">
        <v>12</v>
      </c>
      <c r="C13">
        <v>-0.23301755876133523</v>
      </c>
      <c r="D13">
        <v>0.31492127951894544</v>
      </c>
      <c r="E13">
        <v>0.18291405934894492</v>
      </c>
      <c r="F13">
        <v>-0.19873188679433304</v>
      </c>
      <c r="G13">
        <v>-0.8195579850515835</v>
      </c>
      <c r="H13">
        <v>-0.76313655151510851</v>
      </c>
      <c r="I13">
        <v>0.1248306642154615</v>
      </c>
      <c r="J13" s="24">
        <v>0.50687196009611524</v>
      </c>
      <c r="M13" s="85"/>
      <c r="N13" s="86">
        <v>2015</v>
      </c>
      <c r="O13" s="87">
        <v>2023</v>
      </c>
      <c r="P13" s="79" t="s">
        <v>51</v>
      </c>
      <c r="Q13" s="85"/>
      <c r="R13" s="86">
        <v>2015</v>
      </c>
      <c r="S13" s="87">
        <v>2023</v>
      </c>
      <c r="T13" s="79" t="s">
        <v>51</v>
      </c>
      <c r="U13" s="85"/>
      <c r="V13" s="86">
        <v>2015</v>
      </c>
      <c r="W13" s="87">
        <v>2023</v>
      </c>
      <c r="X13" t="s">
        <v>51</v>
      </c>
      <c r="Y13" s="88"/>
      <c r="Z13" s="86">
        <v>2015</v>
      </c>
      <c r="AA13" s="87">
        <v>2023</v>
      </c>
      <c r="AB13" s="89" t="s">
        <v>51</v>
      </c>
    </row>
    <row r="14" spans="1:28">
      <c r="A14" s="223"/>
      <c r="B14" s="24" t="s">
        <v>13</v>
      </c>
      <c r="C14">
        <v>1.1929320314119782</v>
      </c>
      <c r="D14">
        <v>1.0297425965222839</v>
      </c>
      <c r="E14">
        <v>1.0748558126690586</v>
      </c>
      <c r="F14">
        <v>-0.77739238069547634</v>
      </c>
      <c r="G14">
        <v>1.8482980746681044</v>
      </c>
      <c r="H14">
        <v>1.6255428983492559</v>
      </c>
      <c r="I14">
        <v>1.5470085886701834</v>
      </c>
      <c r="J14" s="24">
        <v>-1.4005672581603195</v>
      </c>
      <c r="M14" s="85" t="s">
        <v>43</v>
      </c>
      <c r="N14">
        <v>0.43457879711285113</v>
      </c>
      <c r="O14">
        <v>0.76204632770663339</v>
      </c>
      <c r="P14" s="79">
        <v>-2.6241635127503701E-16</v>
      </c>
      <c r="Q14" s="85" t="s">
        <v>43</v>
      </c>
      <c r="R14">
        <v>-0.65591299441937756</v>
      </c>
      <c r="S14">
        <v>-1.1046943846480111</v>
      </c>
      <c r="T14" s="79">
        <v>-2.6241635127503701E-16</v>
      </c>
      <c r="U14" s="85" t="s">
        <v>43</v>
      </c>
      <c r="V14">
        <v>-7.2261997930523703E-3</v>
      </c>
      <c r="W14">
        <v>-0.4502292353418621</v>
      </c>
      <c r="X14">
        <v>-2.6241635127503701E-16</v>
      </c>
      <c r="Y14" s="88" t="s">
        <v>43</v>
      </c>
      <c r="Z14">
        <v>5.2330681368880127E-3</v>
      </c>
      <c r="AA14">
        <v>-0.37360067191428947</v>
      </c>
      <c r="AB14" s="89">
        <v>-2.6241635127503701E-16</v>
      </c>
    </row>
    <row r="15" spans="1:28">
      <c r="A15" s="223"/>
      <c r="B15" s="24" t="s">
        <v>15</v>
      </c>
      <c r="C15">
        <v>-6.2502854996164689E-2</v>
      </c>
      <c r="D15">
        <v>0.58985255528945779</v>
      </c>
      <c r="E15">
        <v>1.0955986441416192</v>
      </c>
      <c r="F15">
        <v>0.54066763319046196</v>
      </c>
      <c r="G15">
        <v>0.61153158272180907</v>
      </c>
      <c r="H15">
        <v>-0.967880504360626</v>
      </c>
      <c r="I15">
        <v>-0.44730988010540385</v>
      </c>
      <c r="J15" s="24">
        <v>-1.5962020497763643</v>
      </c>
      <c r="M15" s="85" t="s">
        <v>44</v>
      </c>
      <c r="N15">
        <v>-1.1037244704559606</v>
      </c>
      <c r="O15">
        <v>-0.23494127202207934</v>
      </c>
      <c r="P15" s="79">
        <v>-2.3819330346503357E-15</v>
      </c>
      <c r="Q15" s="85" t="s">
        <v>44</v>
      </c>
      <c r="R15">
        <v>-0.99995550314813442</v>
      </c>
      <c r="S15">
        <v>-1.3346663751041288</v>
      </c>
      <c r="T15" s="79">
        <v>-2.3819330346503357E-15</v>
      </c>
      <c r="U15" s="85" t="s">
        <v>44</v>
      </c>
      <c r="V15">
        <v>-0.53299515026291999</v>
      </c>
      <c r="W15">
        <v>-0.72981756840899692</v>
      </c>
      <c r="X15">
        <v>-2.3819330346503357E-15</v>
      </c>
      <c r="Y15" s="88" t="s">
        <v>44</v>
      </c>
      <c r="Z15">
        <v>0.40092555550750142</v>
      </c>
      <c r="AA15">
        <v>0.20494876921074673</v>
      </c>
      <c r="AB15" s="89">
        <v>-2.3819330346503357E-15</v>
      </c>
    </row>
    <row r="16" spans="1:28">
      <c r="A16" s="223"/>
      <c r="B16" s="24" t="s">
        <v>16</v>
      </c>
      <c r="C16">
        <v>0.76204632770663339</v>
      </c>
      <c r="D16">
        <v>-0.23494127202207934</v>
      </c>
      <c r="E16">
        <v>-0.99942733458701905</v>
      </c>
      <c r="F16">
        <v>-1.3560528745966203</v>
      </c>
      <c r="G16">
        <v>-0.47813052471986023</v>
      </c>
      <c r="H16">
        <v>-1.3091204257698208</v>
      </c>
      <c r="I16">
        <v>-0.46365675280028568</v>
      </c>
      <c r="J16" s="24">
        <v>0.89814154332820439</v>
      </c>
      <c r="M16" s="85" t="s">
        <v>45</v>
      </c>
      <c r="N16">
        <v>-1.1083844182884139</v>
      </c>
      <c r="O16">
        <v>-0.99942733458701905</v>
      </c>
      <c r="P16" s="79">
        <v>2.1195166833752989E-16</v>
      </c>
      <c r="Q16" s="85" t="s">
        <v>45</v>
      </c>
      <c r="R16">
        <v>-0.28003767680747577</v>
      </c>
      <c r="S16">
        <v>-0.52234221071812104</v>
      </c>
      <c r="T16" s="79">
        <v>2.1195166833752989E-16</v>
      </c>
      <c r="U16" s="85" t="s">
        <v>45</v>
      </c>
      <c r="V16">
        <v>0.3412223793032278</v>
      </c>
      <c r="W16">
        <v>0.16217122787638413</v>
      </c>
      <c r="X16">
        <v>2.1195166833752989E-16</v>
      </c>
      <c r="Y16" s="88" t="s">
        <v>45</v>
      </c>
      <c r="Z16">
        <v>-0.36287235095556969</v>
      </c>
      <c r="AA16">
        <v>0.53554219438247841</v>
      </c>
      <c r="AB16" s="89">
        <v>2.1195166833752989E-16</v>
      </c>
    </row>
    <row r="17" spans="1:28">
      <c r="A17" s="223"/>
      <c r="B17" s="24" t="s">
        <v>17</v>
      </c>
      <c r="C17">
        <v>-1.1046943846480111</v>
      </c>
      <c r="D17">
        <v>-1.3346663751041288</v>
      </c>
      <c r="E17">
        <v>-0.52234221071812104</v>
      </c>
      <c r="F17">
        <v>5.8450554939508841E-2</v>
      </c>
      <c r="G17">
        <v>-0.14759968546255403</v>
      </c>
      <c r="H17">
        <v>-1.0361284886424647</v>
      </c>
      <c r="I17">
        <v>-0.67616609783374981</v>
      </c>
      <c r="J17" s="24">
        <v>-0.76475418540817452</v>
      </c>
      <c r="M17" s="85" t="s">
        <v>46</v>
      </c>
      <c r="N17">
        <v>-0.95697265535075837</v>
      </c>
      <c r="O17">
        <v>-1.3560528745966203</v>
      </c>
      <c r="P17" s="79">
        <v>-2.0312034882346614E-16</v>
      </c>
      <c r="Q17" s="85" t="s">
        <v>46</v>
      </c>
      <c r="R17">
        <v>-0.57340871656644632</v>
      </c>
      <c r="S17">
        <v>5.8450554939508841E-2</v>
      </c>
      <c r="T17" s="79">
        <v>-2.0312034882346614E-16</v>
      </c>
      <c r="U17" s="85" t="s">
        <v>46</v>
      </c>
      <c r="V17">
        <v>0.76906506917864637</v>
      </c>
      <c r="W17">
        <v>0.73355446449084361</v>
      </c>
      <c r="X17">
        <v>-2.0312034882346614E-16</v>
      </c>
      <c r="Y17" s="88" t="s">
        <v>46</v>
      </c>
      <c r="Z17">
        <v>-0.65864514740740476</v>
      </c>
      <c r="AA17">
        <v>-1.2274616537296994</v>
      </c>
      <c r="AB17" s="89">
        <v>-2.0312034882346614E-16</v>
      </c>
    </row>
    <row r="18" spans="1:28">
      <c r="A18" s="223"/>
      <c r="B18" s="24" t="s">
        <v>18</v>
      </c>
      <c r="C18">
        <v>-0.4502292353418621</v>
      </c>
      <c r="D18">
        <v>-0.72981756840899692</v>
      </c>
      <c r="E18">
        <v>0.16217122787638413</v>
      </c>
      <c r="F18">
        <v>0.73355446449084361</v>
      </c>
      <c r="G18">
        <v>1.8482980746681044</v>
      </c>
      <c r="H18">
        <v>0.60182313412167121</v>
      </c>
      <c r="I18">
        <v>0.28829939116428016</v>
      </c>
      <c r="J18" s="24">
        <v>0.55578065800012666</v>
      </c>
      <c r="M18" s="85" t="s">
        <v>47</v>
      </c>
      <c r="N18">
        <v>-0.67617047850761014</v>
      </c>
      <c r="O18">
        <v>-0.47813052471986023</v>
      </c>
      <c r="P18" s="79">
        <v>0</v>
      </c>
      <c r="Q18" s="85" t="s">
        <v>47</v>
      </c>
      <c r="R18">
        <v>5.7522612703229524E-2</v>
      </c>
      <c r="S18">
        <v>-0.14759968546255403</v>
      </c>
      <c r="T18" s="79">
        <v>0</v>
      </c>
      <c r="U18" s="85" t="s">
        <v>47</v>
      </c>
      <c r="V18">
        <v>1.2762410024662019</v>
      </c>
      <c r="W18">
        <v>1.8482980746681044</v>
      </c>
      <c r="X18">
        <v>0</v>
      </c>
      <c r="Y18" s="88" t="s">
        <v>47</v>
      </c>
      <c r="Z18">
        <v>-0.33886862113886834</v>
      </c>
      <c r="AA18">
        <v>1.2217423628891303E-2</v>
      </c>
      <c r="AB18" s="89">
        <v>0</v>
      </c>
    </row>
    <row r="19" spans="1:28">
      <c r="A19" s="223"/>
      <c r="B19" s="24" t="s">
        <v>19</v>
      </c>
      <c r="C19">
        <v>-0.37360067191428947</v>
      </c>
      <c r="D19">
        <v>0.20494876921074673</v>
      </c>
      <c r="E19">
        <v>0.53554219438247841</v>
      </c>
      <c r="F19">
        <v>-1.2274616537296994</v>
      </c>
      <c r="G19">
        <v>1.2217423628891303E-2</v>
      </c>
      <c r="H19">
        <v>1.4890469297855777</v>
      </c>
      <c r="I19">
        <v>0.8440930627902633</v>
      </c>
      <c r="J19" s="24">
        <v>-1.1560237686402637</v>
      </c>
      <c r="M19" s="85" t="s">
        <v>48</v>
      </c>
      <c r="N19">
        <v>-7.5264445060928192E-2</v>
      </c>
      <c r="O19">
        <v>-1.3091204257698208</v>
      </c>
      <c r="P19" s="79">
        <v>-1.6653345369377348E-16</v>
      </c>
      <c r="Q19" s="85" t="s">
        <v>48</v>
      </c>
      <c r="R19">
        <v>-0.40233956433804774</v>
      </c>
      <c r="S19">
        <v>-1.0361284886424647</v>
      </c>
      <c r="T19" s="79">
        <v>-1.6653345369377348E-16</v>
      </c>
      <c r="U19" s="85" t="s">
        <v>48</v>
      </c>
      <c r="V19">
        <v>0.9468453026800695</v>
      </c>
      <c r="W19">
        <v>0.60182313412167121</v>
      </c>
      <c r="X19">
        <v>-1.6653345369377348E-16</v>
      </c>
      <c r="Y19" s="88" t="s">
        <v>48</v>
      </c>
      <c r="Z19">
        <v>0.49711701367403066</v>
      </c>
      <c r="AA19">
        <v>1.4890469297855777</v>
      </c>
      <c r="AB19" s="89">
        <v>-1.6653345369377348E-16</v>
      </c>
    </row>
    <row r="20" spans="1:28">
      <c r="A20" s="223"/>
      <c r="B20" s="24" t="s">
        <v>20</v>
      </c>
      <c r="C20">
        <v>-0.41679075744311761</v>
      </c>
      <c r="D20">
        <v>-0.89477633387130284</v>
      </c>
      <c r="E20">
        <v>-1.6217122787638421</v>
      </c>
      <c r="F20">
        <v>2.0837622835935119</v>
      </c>
      <c r="G20">
        <v>-7.8587751991247831E-2</v>
      </c>
      <c r="H20">
        <v>-0.42189663010591361</v>
      </c>
      <c r="I20">
        <v>-1.7223659503061892</v>
      </c>
      <c r="J20" s="24">
        <v>1.5828633139843606</v>
      </c>
      <c r="M20" s="85" t="s">
        <v>49</v>
      </c>
      <c r="N20">
        <v>-0.2565016193163091</v>
      </c>
      <c r="O20">
        <v>-0.46365675280028568</v>
      </c>
      <c r="P20" s="79">
        <v>-1.5139404881252134E-16</v>
      </c>
      <c r="Q20" s="85" t="s">
        <v>49</v>
      </c>
      <c r="R20">
        <v>-0.31897064837489375</v>
      </c>
      <c r="S20">
        <v>-0.67616609783374981</v>
      </c>
      <c r="T20" s="79">
        <v>-1.5139404881252134E-16</v>
      </c>
      <c r="U20" s="85" t="s">
        <v>49</v>
      </c>
      <c r="V20">
        <v>-0.38143967743347834</v>
      </c>
      <c r="W20">
        <v>0.28829939116428016</v>
      </c>
      <c r="X20">
        <v>-1.5139404881252134E-16</v>
      </c>
      <c r="Y20" s="88" t="s">
        <v>49</v>
      </c>
      <c r="Z20">
        <v>0.46189221485741228</v>
      </c>
      <c r="AA20">
        <v>0.8440930627902633</v>
      </c>
      <c r="AB20" s="89">
        <v>-1.5139404881252134E-16</v>
      </c>
    </row>
    <row r="21" spans="1:28" ht="15.75" thickBot="1">
      <c r="A21" s="223"/>
      <c r="B21" s="24" t="s">
        <v>21</v>
      </c>
      <c r="C21">
        <v>1.3121969613231379</v>
      </c>
      <c r="D21">
        <v>9.4976258902540217E-2</v>
      </c>
      <c r="E21">
        <v>-0.56382787366324272</v>
      </c>
      <c r="F21">
        <v>-0.97027921199585754</v>
      </c>
      <c r="G21">
        <v>-0.87404109042366673</v>
      </c>
      <c r="H21">
        <v>0.8748150712490268</v>
      </c>
      <c r="I21">
        <v>0.63158371775679922</v>
      </c>
      <c r="J21" s="24">
        <v>0.50687196009611524</v>
      </c>
      <c r="M21" s="90" t="s">
        <v>50</v>
      </c>
      <c r="N21" s="95">
        <v>1.0189259259112737</v>
      </c>
      <c r="O21" s="95">
        <v>0.89814154332820439</v>
      </c>
      <c r="P21" s="95">
        <v>-4.0371746350005693E-17</v>
      </c>
      <c r="Q21" s="95" t="s">
        <v>50</v>
      </c>
      <c r="R21" s="95">
        <v>0.56541554270220973</v>
      </c>
      <c r="S21" s="95">
        <v>-0.76475418540817452</v>
      </c>
      <c r="T21" s="95">
        <v>-4.0371746350005693E-17</v>
      </c>
      <c r="U21" s="95" t="s">
        <v>50</v>
      </c>
      <c r="V21" s="95">
        <v>0.50062834510091447</v>
      </c>
      <c r="W21" s="95">
        <v>0.55578065800012666</v>
      </c>
      <c r="X21" s="95">
        <v>-4.0371746350005693E-17</v>
      </c>
      <c r="Y21" s="95" t="s">
        <v>50</v>
      </c>
      <c r="Z21" s="95">
        <v>-0.6007540141210973</v>
      </c>
      <c r="AA21" s="95">
        <v>-1.1560237686402637</v>
      </c>
      <c r="AB21" s="92">
        <v>-4.0371746350005693E-17</v>
      </c>
    </row>
    <row r="22" spans="1:28" ht="15.75" thickBot="1">
      <c r="A22" s="254"/>
      <c r="B22" s="26" t="s">
        <v>22</v>
      </c>
      <c r="C22">
        <v>1.3121969613231379</v>
      </c>
      <c r="D22">
        <v>2.1844539547584327</v>
      </c>
      <c r="E22">
        <v>1.7178835883184422</v>
      </c>
      <c r="F22">
        <v>0.18704177580642919</v>
      </c>
      <c r="G22">
        <v>-0.60525777058805486</v>
      </c>
      <c r="H22">
        <v>-0.55839259866959168</v>
      </c>
      <c r="I22">
        <v>1.269111752857192</v>
      </c>
      <c r="J22" s="24">
        <v>0.60468935590413764</v>
      </c>
      <c r="M22" s="248" t="s">
        <v>20</v>
      </c>
      <c r="N22" s="249"/>
      <c r="O22" s="249"/>
      <c r="P22" s="250"/>
      <c r="Q22" s="248" t="s">
        <v>21</v>
      </c>
      <c r="R22" s="249"/>
      <c r="S22" s="249"/>
      <c r="T22" s="250"/>
      <c r="U22" s="248" t="s">
        <v>22</v>
      </c>
      <c r="V22" s="249"/>
      <c r="W22" s="249"/>
      <c r="X22" s="249"/>
      <c r="Y22" s="96"/>
      <c r="Z22" s="36"/>
      <c r="AA22" s="36"/>
      <c r="AB22" s="93"/>
    </row>
    <row r="23" spans="1:28" ht="16.5" thickTop="1" thickBot="1">
      <c r="C23" s="84" t="s">
        <v>43</v>
      </c>
      <c r="D23" s="84" t="s">
        <v>44</v>
      </c>
      <c r="E23" s="84" t="s">
        <v>45</v>
      </c>
      <c r="F23" s="84" t="s">
        <v>46</v>
      </c>
      <c r="G23" s="84" t="s">
        <v>47</v>
      </c>
      <c r="H23" s="84" t="s">
        <v>48</v>
      </c>
      <c r="I23" s="84" t="s">
        <v>49</v>
      </c>
      <c r="J23" s="84" t="s">
        <v>50</v>
      </c>
      <c r="M23" s="85"/>
      <c r="N23" s="86">
        <v>2015</v>
      </c>
      <c r="O23" s="87">
        <v>2023</v>
      </c>
      <c r="P23" s="79" t="s">
        <v>51</v>
      </c>
      <c r="Q23" s="85"/>
      <c r="R23" s="86">
        <v>2015</v>
      </c>
      <c r="S23" s="87">
        <v>2023</v>
      </c>
      <c r="T23" s="79" t="s">
        <v>51</v>
      </c>
      <c r="U23" s="85"/>
      <c r="V23" s="86">
        <v>2015</v>
      </c>
      <c r="W23" s="87">
        <v>2023</v>
      </c>
      <c r="X23" t="s">
        <v>51</v>
      </c>
      <c r="Y23" s="88"/>
      <c r="Z23" s="39"/>
      <c r="AA23" s="39"/>
    </row>
    <row r="24" spans="1:28">
      <c r="M24" s="85" t="s">
        <v>43</v>
      </c>
      <c r="N24">
        <v>-1.2388264443922912</v>
      </c>
      <c r="O24">
        <v>-0.41679075744311761</v>
      </c>
      <c r="P24" s="79">
        <v>-2.6241635127503701E-16</v>
      </c>
      <c r="Q24" s="85" t="s">
        <v>43</v>
      </c>
      <c r="R24">
        <v>0.73778651123219807</v>
      </c>
      <c r="S24">
        <v>1.3121969613231379</v>
      </c>
      <c r="T24" s="79">
        <v>-2.6241635127503701E-16</v>
      </c>
      <c r="U24" s="85" t="s">
        <v>43</v>
      </c>
      <c r="V24">
        <v>1.0117938222185814</v>
      </c>
      <c r="W24">
        <v>1.3121969613231379</v>
      </c>
      <c r="X24">
        <v>-2.6241635127503701E-16</v>
      </c>
      <c r="Y24" s="88"/>
    </row>
    <row r="25" spans="1:28">
      <c r="B25" t="s">
        <v>131</v>
      </c>
      <c r="C25">
        <f>AVERAGE(C1:C22)</f>
        <v>-2.6241635127503701E-16</v>
      </c>
      <c r="D25">
        <f t="shared" ref="D25:J25" si="0">AVERAGE(D1:D22)</f>
        <v>-2.3819330346503357E-15</v>
      </c>
      <c r="E25">
        <f t="shared" si="0"/>
        <v>2.1195166833752989E-16</v>
      </c>
      <c r="F25">
        <f t="shared" si="0"/>
        <v>-2.0312034882346614E-16</v>
      </c>
      <c r="G25">
        <f>AVERAGE(G1:G22)</f>
        <v>0</v>
      </c>
      <c r="H25">
        <f t="shared" si="0"/>
        <v>-1.6653345369377348E-16</v>
      </c>
      <c r="I25">
        <f t="shared" si="0"/>
        <v>-1.5139404881252134E-16</v>
      </c>
      <c r="J25">
        <f t="shared" si="0"/>
        <v>-4.0371746350005693E-17</v>
      </c>
      <c r="M25" s="85" t="s">
        <v>44</v>
      </c>
      <c r="N25">
        <v>-0.94807101949421757</v>
      </c>
      <c r="O25">
        <v>-0.89477633387130284</v>
      </c>
      <c r="P25" s="79">
        <v>-2.3819330346503357E-15</v>
      </c>
      <c r="Q25" s="85" t="s">
        <v>44</v>
      </c>
      <c r="R25">
        <v>-1.4150313723796163E-2</v>
      </c>
      <c r="S25">
        <v>9.4976258902540217E-2</v>
      </c>
      <c r="T25" s="79">
        <v>-2.3819330346503357E-15</v>
      </c>
      <c r="U25" s="85" t="s">
        <v>44</v>
      </c>
      <c r="V25">
        <v>2.1649979997405255</v>
      </c>
      <c r="W25">
        <v>2.1844539547584327</v>
      </c>
      <c r="X25">
        <v>-2.3819330346503357E-15</v>
      </c>
      <c r="Y25" s="88"/>
    </row>
    <row r="26" spans="1:28">
      <c r="M26" s="85" t="s">
        <v>45</v>
      </c>
      <c r="N26">
        <v>-1.4190144463437657</v>
      </c>
      <c r="O26">
        <v>-1.6217122787638421</v>
      </c>
      <c r="P26" s="79">
        <v>2.1195166833752989E-16</v>
      </c>
      <c r="Q26" s="85" t="s">
        <v>45</v>
      </c>
      <c r="R26">
        <v>-5.2242322900218095E-2</v>
      </c>
      <c r="S26">
        <v>-0.56382787366324272</v>
      </c>
      <c r="T26" s="79">
        <v>2.1195166833752989E-16</v>
      </c>
      <c r="U26" s="85" t="s">
        <v>45</v>
      </c>
      <c r="V26">
        <v>2.0134473636678711</v>
      </c>
      <c r="W26">
        <v>1.7178835883184422</v>
      </c>
      <c r="X26">
        <v>2.1195166833752989E-16</v>
      </c>
      <c r="Y26" s="88"/>
    </row>
    <row r="27" spans="1:28">
      <c r="M27" s="85" t="s">
        <v>46</v>
      </c>
      <c r="N27">
        <v>2.367248147446614</v>
      </c>
      <c r="O27">
        <v>2.0837622835935119</v>
      </c>
      <c r="P27" s="79">
        <v>-2.0312034882346614E-16</v>
      </c>
      <c r="Q27" s="85" t="s">
        <v>46</v>
      </c>
      <c r="R27">
        <v>-0.78649979366884204</v>
      </c>
      <c r="S27">
        <v>-0.97027921199585754</v>
      </c>
      <c r="T27" s="79">
        <v>-2.0312034882346614E-16</v>
      </c>
      <c r="U27" s="85" t="s">
        <v>46</v>
      </c>
      <c r="V27">
        <v>-0.18984477778213429</v>
      </c>
      <c r="W27">
        <v>0.18704177580642919</v>
      </c>
      <c r="X27">
        <v>-2.0312034882346614E-16</v>
      </c>
      <c r="Y27" s="88"/>
    </row>
    <row r="28" spans="1:28">
      <c r="M28" s="85" t="s">
        <v>47</v>
      </c>
      <c r="N28">
        <v>-0.70571516674428825</v>
      </c>
      <c r="O28">
        <v>-7.8587751991247831E-2</v>
      </c>
      <c r="P28" s="79">
        <v>0</v>
      </c>
      <c r="Q28" s="85" t="s">
        <v>47</v>
      </c>
      <c r="R28">
        <v>-0.97161736087439132</v>
      </c>
      <c r="S28">
        <v>-0.87404109042366673</v>
      </c>
      <c r="T28" s="79">
        <v>0</v>
      </c>
      <c r="U28" s="85" t="s">
        <v>47</v>
      </c>
      <c r="V28">
        <v>0.15108079211937708</v>
      </c>
      <c r="W28">
        <v>-0.60525777058805486</v>
      </c>
      <c r="X28">
        <v>0</v>
      </c>
      <c r="Y28" s="88"/>
    </row>
    <row r="29" spans="1:28">
      <c r="M29" s="85" t="s">
        <v>48</v>
      </c>
      <c r="N29">
        <v>0.21092628430655089</v>
      </c>
      <c r="O29">
        <v>-0.42189663010591361</v>
      </c>
      <c r="P29" s="79">
        <v>-1.6653345369377348E-16</v>
      </c>
      <c r="Q29" s="85" t="s">
        <v>48</v>
      </c>
      <c r="R29">
        <v>-3.4380055151288426E-2</v>
      </c>
      <c r="S29">
        <v>0.8748150712490268</v>
      </c>
      <c r="T29" s="79">
        <v>-1.6653345369377348E-16</v>
      </c>
      <c r="U29" s="85" t="s">
        <v>48</v>
      </c>
      <c r="V29">
        <v>-1.0564898028922862</v>
      </c>
      <c r="W29">
        <v>-0.55839259866959168</v>
      </c>
      <c r="X29">
        <v>-1.6653345369377348E-16</v>
      </c>
      <c r="Y29" s="88"/>
    </row>
    <row r="30" spans="1:28">
      <c r="M30" s="85" t="s">
        <v>49</v>
      </c>
      <c r="N30">
        <v>-1.8286388506240185</v>
      </c>
      <c r="O30">
        <v>-1.7223659503061892</v>
      </c>
      <c r="P30" s="79">
        <v>-1.5139404881252134E-16</v>
      </c>
      <c r="Q30" s="85" t="s">
        <v>49</v>
      </c>
      <c r="R30">
        <v>1.0032904666984777</v>
      </c>
      <c r="S30">
        <v>0.63158371775679922</v>
      </c>
      <c r="T30" s="79">
        <v>-1.5139404881252134E-16</v>
      </c>
      <c r="U30" s="85" t="s">
        <v>49</v>
      </c>
      <c r="V30">
        <v>0.96164444732608811</v>
      </c>
      <c r="W30">
        <v>1.269111752857192</v>
      </c>
      <c r="X30">
        <v>-1.5139404881252134E-16</v>
      </c>
      <c r="Y30" s="88"/>
    </row>
    <row r="31" spans="1:28" ht="15.75" thickBot="1">
      <c r="M31" s="90" t="s">
        <v>50</v>
      </c>
      <c r="N31" s="95">
        <v>1.2456811175158053</v>
      </c>
      <c r="O31" s="95">
        <v>1.5828633139843606</v>
      </c>
      <c r="P31" s="95">
        <v>-4.0371746350005693E-17</v>
      </c>
      <c r="Q31" s="95" t="s">
        <v>50</v>
      </c>
      <c r="R31" s="95">
        <v>0.2738731534963828</v>
      </c>
      <c r="S31" s="95">
        <v>0.50687196009611524</v>
      </c>
      <c r="T31" s="95">
        <v>-4.0371746350005693E-17</v>
      </c>
      <c r="U31" s="95" t="s">
        <v>50</v>
      </c>
      <c r="V31" s="95">
        <v>-0.34160522371591828</v>
      </c>
      <c r="W31" s="95">
        <v>0.60468935590413764</v>
      </c>
      <c r="X31" s="37">
        <v>-4.0371746350005693E-17</v>
      </c>
      <c r="Y31" s="88"/>
    </row>
    <row r="33" spans="1:6" ht="15.75">
      <c r="A33" s="244"/>
      <c r="B33" s="145"/>
      <c r="C33" s="19"/>
    </row>
    <row r="34" spans="1:6">
      <c r="A34" s="244"/>
      <c r="C34" s="19"/>
    </row>
    <row r="35" spans="1:6">
      <c r="A35" s="244"/>
      <c r="C35" s="19"/>
    </row>
    <row r="36" spans="1:6" ht="15.75">
      <c r="A36" s="244"/>
      <c r="C36" s="19"/>
      <c r="D36" s="145"/>
      <c r="E36" s="19"/>
      <c r="F36" s="19"/>
    </row>
    <row r="37" spans="1:6">
      <c r="A37" s="244"/>
      <c r="C37" s="19"/>
      <c r="E37" s="19"/>
      <c r="F37" s="19"/>
    </row>
    <row r="38" spans="1:6">
      <c r="A38" s="244"/>
      <c r="C38" s="19"/>
      <c r="E38" s="19"/>
      <c r="F38" s="19"/>
    </row>
    <row r="39" spans="1:6">
      <c r="A39" s="244"/>
      <c r="C39" s="19"/>
      <c r="E39" s="19"/>
      <c r="F39" s="19"/>
    </row>
    <row r="40" spans="1:6">
      <c r="A40" s="244"/>
      <c r="C40" s="19"/>
      <c r="E40" s="19"/>
      <c r="F40" s="19"/>
    </row>
    <row r="41" spans="1:6">
      <c r="A41" s="244"/>
      <c r="C41" s="19"/>
      <c r="E41" s="19"/>
      <c r="F41" s="19"/>
    </row>
    <row r="42" spans="1:6">
      <c r="A42" s="244"/>
      <c r="C42" s="19"/>
      <c r="E42" s="19"/>
      <c r="F42" s="19"/>
    </row>
    <row r="43" spans="1:6">
      <c r="A43" s="244"/>
      <c r="C43" s="19"/>
      <c r="E43" s="19"/>
      <c r="F43" s="19"/>
    </row>
    <row r="44" spans="1:6">
      <c r="A44" s="244"/>
      <c r="C44" s="19"/>
      <c r="E44" s="19"/>
      <c r="F44" s="19"/>
    </row>
    <row r="45" spans="1:6">
      <c r="A45" s="244"/>
      <c r="C45" s="19"/>
      <c r="E45" s="19"/>
      <c r="F45" s="19"/>
    </row>
    <row r="46" spans="1:6" ht="15.75">
      <c r="A46" s="244"/>
      <c r="B46" s="145"/>
      <c r="C46" s="19"/>
      <c r="E46" s="19"/>
      <c r="F46" s="19"/>
    </row>
    <row r="47" spans="1:6">
      <c r="A47" s="244"/>
      <c r="C47" s="19"/>
    </row>
    <row r="48" spans="1:6">
      <c r="A48" s="244"/>
      <c r="C48" s="19"/>
    </row>
    <row r="49" spans="1:3">
      <c r="A49" s="244"/>
      <c r="C49" s="19"/>
    </row>
    <row r="50" spans="1:3">
      <c r="A50" s="244"/>
      <c r="C50" s="19"/>
    </row>
    <row r="51" spans="1:3">
      <c r="A51" s="244"/>
      <c r="C51" s="19"/>
    </row>
    <row r="52" spans="1:3">
      <c r="A52" s="244"/>
      <c r="C52" s="19"/>
    </row>
    <row r="53" spans="1:3">
      <c r="A53" s="244"/>
      <c r="C53" s="19"/>
    </row>
    <row r="54" spans="1:3">
      <c r="A54" s="244"/>
      <c r="C54" s="19"/>
    </row>
    <row r="55" spans="1:3">
      <c r="A55" s="244"/>
      <c r="C55" s="19"/>
    </row>
    <row r="56" spans="1:3">
      <c r="A56" s="244"/>
      <c r="C56" s="19"/>
    </row>
  </sheetData>
  <mergeCells count="15">
    <mergeCell ref="A33:A45"/>
    <mergeCell ref="A46:A56"/>
    <mergeCell ref="Y2:AB2"/>
    <mergeCell ref="M12:P12"/>
    <mergeCell ref="Q12:T12"/>
    <mergeCell ref="U12:X12"/>
    <mergeCell ref="Y12:AB12"/>
    <mergeCell ref="M22:P22"/>
    <mergeCell ref="Q22:T22"/>
    <mergeCell ref="U22:X22"/>
    <mergeCell ref="A1:A11"/>
    <mergeCell ref="A12:A22"/>
    <mergeCell ref="M2:P2"/>
    <mergeCell ref="Q2:T2"/>
    <mergeCell ref="U2:X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D784-8D71-48C8-853A-33A36D5F92A6}">
  <sheetPr>
    <pageSetUpPr fitToPage="1"/>
  </sheetPr>
  <dimension ref="A1:AF123"/>
  <sheetViews>
    <sheetView tabSelected="1" topLeftCell="A79" zoomScale="85" zoomScaleNormal="85" workbookViewId="0">
      <selection activeCell="AF107" sqref="AD80:AF107"/>
    </sheetView>
  </sheetViews>
  <sheetFormatPr defaultRowHeight="15"/>
  <sheetData>
    <row r="1" spans="1:16" ht="15.75" thickBot="1">
      <c r="A1" s="222" t="s">
        <v>11</v>
      </c>
      <c r="B1" s="255"/>
      <c r="C1" s="255"/>
      <c r="D1" s="256"/>
      <c r="E1" s="222" t="s">
        <v>12</v>
      </c>
      <c r="F1" s="255"/>
      <c r="G1" s="255"/>
      <c r="H1" s="256"/>
      <c r="I1" s="222" t="s">
        <v>13</v>
      </c>
      <c r="J1" s="255"/>
      <c r="K1" s="255"/>
      <c r="L1" s="255"/>
      <c r="M1" s="245" t="s">
        <v>15</v>
      </c>
      <c r="N1" s="246"/>
      <c r="O1" s="246"/>
      <c r="P1" s="247"/>
    </row>
    <row r="2" spans="1:16">
      <c r="A2" s="85"/>
      <c r="B2" s="86">
        <v>2015</v>
      </c>
      <c r="C2" s="87">
        <v>2023</v>
      </c>
      <c r="D2" s="79" t="s">
        <v>51</v>
      </c>
      <c r="E2" s="85"/>
      <c r="F2" s="86">
        <v>2015</v>
      </c>
      <c r="G2" s="87">
        <v>2023</v>
      </c>
      <c r="H2" s="79" t="s">
        <v>51</v>
      </c>
      <c r="I2" s="85"/>
      <c r="J2" s="86">
        <v>2015</v>
      </c>
      <c r="K2" s="87">
        <v>2023</v>
      </c>
      <c r="L2" t="s">
        <v>51</v>
      </c>
      <c r="M2" s="88"/>
      <c r="N2" s="86">
        <v>2015</v>
      </c>
      <c r="O2" s="87">
        <v>2023</v>
      </c>
      <c r="P2" s="89" t="s">
        <v>51</v>
      </c>
    </row>
    <row r="3" spans="1:16">
      <c r="A3" s="85" t="s">
        <v>43</v>
      </c>
      <c r="B3">
        <v>-1.8690014068229666</v>
      </c>
      <c r="C3">
        <v>-1.9385368186601104</v>
      </c>
      <c r="D3" s="79">
        <v>-2.6241635127503701E-16</v>
      </c>
      <c r="E3" s="85" t="s">
        <v>43</v>
      </c>
      <c r="F3">
        <v>-0.74264495256734164</v>
      </c>
      <c r="G3">
        <v>-0.23301755876133523</v>
      </c>
      <c r="H3" s="94">
        <v>-2.6241635127503701E-16</v>
      </c>
      <c r="I3" s="85" t="s">
        <v>43</v>
      </c>
      <c r="J3">
        <v>1.6780588088080792</v>
      </c>
      <c r="K3">
        <v>1.1929320314119782</v>
      </c>
      <c r="L3">
        <v>-2.6241635127503701E-16</v>
      </c>
      <c r="M3" s="88" t="s">
        <v>43</v>
      </c>
      <c r="N3">
        <v>0.6461609904864285</v>
      </c>
      <c r="O3">
        <v>-6.2502854996164689E-2</v>
      </c>
      <c r="P3" s="89">
        <v>-2.6241635127503701E-16</v>
      </c>
    </row>
    <row r="4" spans="1:16">
      <c r="A4" s="85" t="s">
        <v>44</v>
      </c>
      <c r="B4">
        <v>-1.0518399868020438</v>
      </c>
      <c r="C4">
        <v>-1.2246938647959225</v>
      </c>
      <c r="D4" s="79">
        <v>-2.3819330346503357E-15</v>
      </c>
      <c r="E4" s="85" t="s">
        <v>44</v>
      </c>
      <c r="F4">
        <v>0.40092555550750142</v>
      </c>
      <c r="G4">
        <v>0.31492127951894544</v>
      </c>
      <c r="H4" s="79">
        <v>-2.3819330346503357E-15</v>
      </c>
      <c r="I4" s="85" t="s">
        <v>44</v>
      </c>
      <c r="J4">
        <v>1.0235393593544515</v>
      </c>
      <c r="K4">
        <v>1.0297425965222839</v>
      </c>
      <c r="L4">
        <v>-2.3819330346503357E-15</v>
      </c>
      <c r="M4" s="88" t="s">
        <v>44</v>
      </c>
      <c r="N4">
        <v>0.66034797377706334</v>
      </c>
      <c r="O4">
        <v>0.58985255528945779</v>
      </c>
      <c r="P4" s="89">
        <v>-2.3819330346503357E-15</v>
      </c>
    </row>
    <row r="5" spans="1:16">
      <c r="A5" s="85" t="s">
        <v>45</v>
      </c>
      <c r="B5">
        <v>-0.46641569364068702</v>
      </c>
      <c r="C5">
        <v>-1.0616558290047011</v>
      </c>
      <c r="D5" s="79">
        <v>2.1195166833752989E-16</v>
      </c>
      <c r="E5" s="85" t="s">
        <v>45</v>
      </c>
      <c r="F5">
        <v>-0.73562838462199187</v>
      </c>
      <c r="G5">
        <v>0.18291405934894492</v>
      </c>
      <c r="H5" s="79">
        <v>2.1195166833752989E-16</v>
      </c>
      <c r="I5" s="85" t="s">
        <v>45</v>
      </c>
      <c r="J5">
        <v>1.5216164859135641</v>
      </c>
      <c r="K5">
        <v>1.0748558126690586</v>
      </c>
      <c r="L5">
        <v>2.1195166833752989E-16</v>
      </c>
      <c r="M5" s="88" t="s">
        <v>45</v>
      </c>
      <c r="N5">
        <v>0.54830906467346208</v>
      </c>
      <c r="O5">
        <v>1.0955986441416192</v>
      </c>
      <c r="P5" s="89">
        <v>2.1195166833752989E-16</v>
      </c>
    </row>
    <row r="6" spans="1:16">
      <c r="A6" s="85" t="s">
        <v>46</v>
      </c>
      <c r="B6">
        <v>0.83299239230936528</v>
      </c>
      <c r="C6">
        <v>0.92644129579122414</v>
      </c>
      <c r="D6" s="79">
        <v>-2.0312034882346614E-16</v>
      </c>
      <c r="E6" s="85" t="s">
        <v>46</v>
      </c>
      <c r="F6">
        <v>0.44942845352505284</v>
      </c>
      <c r="G6">
        <v>-0.19873188679433304</v>
      </c>
      <c r="H6" s="79">
        <v>-2.0312034882346614E-16</v>
      </c>
      <c r="I6" s="85" t="s">
        <v>46</v>
      </c>
      <c r="J6">
        <v>-1.2553001632941125</v>
      </c>
      <c r="K6">
        <v>-0.77739238069547634</v>
      </c>
      <c r="L6">
        <v>-2.0312034882346614E-16</v>
      </c>
      <c r="M6" s="88" t="s">
        <v>46</v>
      </c>
      <c r="N6">
        <v>1.9371916100222885E-3</v>
      </c>
      <c r="O6">
        <v>0.54066763319046196</v>
      </c>
      <c r="P6" s="89">
        <v>-2.0312034882346614E-16</v>
      </c>
    </row>
    <row r="7" spans="1:16">
      <c r="A7" s="85" t="s">
        <v>47</v>
      </c>
      <c r="B7">
        <v>-1.3187674476553592</v>
      </c>
      <c r="C7">
        <v>-1.3171703474499457</v>
      </c>
      <c r="D7" s="79">
        <v>0</v>
      </c>
      <c r="E7" s="85" t="s">
        <v>47</v>
      </c>
      <c r="F7">
        <v>-0.67124636380149705</v>
      </c>
      <c r="G7">
        <v>-0.8195579850515835</v>
      </c>
      <c r="H7" s="79">
        <v>0</v>
      </c>
      <c r="I7" s="85" t="s">
        <v>47</v>
      </c>
      <c r="J7">
        <v>1.4781297054168359</v>
      </c>
      <c r="K7">
        <v>1.8482980746681044</v>
      </c>
      <c r="L7">
        <v>0</v>
      </c>
      <c r="M7" s="88" t="s">
        <v>47</v>
      </c>
      <c r="N7">
        <v>1.7194113260163737</v>
      </c>
      <c r="O7">
        <v>0.61153158272180907</v>
      </c>
      <c r="P7" s="89">
        <v>0</v>
      </c>
    </row>
    <row r="8" spans="1:16">
      <c r="A8" s="85" t="s">
        <v>48</v>
      </c>
      <c r="B8">
        <v>-0.48410834415732729</v>
      </c>
      <c r="C8">
        <v>0.46532716555799314</v>
      </c>
      <c r="D8" s="79">
        <v>-1.6653345369377348E-16</v>
      </c>
      <c r="E8" s="85" t="s">
        <v>48</v>
      </c>
      <c r="F8">
        <v>-2.1910316228847933</v>
      </c>
      <c r="G8">
        <v>-0.76313655151510851</v>
      </c>
      <c r="H8" s="79">
        <v>-1.6653345369377348E-16</v>
      </c>
      <c r="I8" s="85" t="s">
        <v>48</v>
      </c>
      <c r="J8">
        <v>1.5601111513246682</v>
      </c>
      <c r="K8">
        <v>1.6255428983492559</v>
      </c>
      <c r="L8">
        <v>-1.6653345369377348E-16</v>
      </c>
      <c r="M8" s="88" t="s">
        <v>48</v>
      </c>
      <c r="N8">
        <v>1.028614082499349</v>
      </c>
      <c r="O8">
        <v>-0.967880504360626</v>
      </c>
      <c r="P8" s="89">
        <v>-1.6653345369377348E-16</v>
      </c>
    </row>
    <row r="9" spans="1:16">
      <c r="A9" s="85" t="s">
        <v>49</v>
      </c>
      <c r="B9">
        <v>-1.7037007925068495</v>
      </c>
      <c r="C9">
        <v>-1.3954284964085519</v>
      </c>
      <c r="D9" s="79">
        <v>-1.5139404881252134E-16</v>
      </c>
      <c r="E9" s="85" t="s">
        <v>49</v>
      </c>
      <c r="F9">
        <v>0.26407362283856156</v>
      </c>
      <c r="G9">
        <v>0.1248306642154615</v>
      </c>
      <c r="H9" s="79">
        <v>-1.5139404881252134E-16</v>
      </c>
      <c r="I9" s="85" t="s">
        <v>49</v>
      </c>
      <c r="J9">
        <v>1.4509851749516665</v>
      </c>
      <c r="K9">
        <v>1.5470085886701834</v>
      </c>
      <c r="L9">
        <v>-1.5139404881252134E-16</v>
      </c>
      <c r="M9" s="88" t="s">
        <v>49</v>
      </c>
      <c r="N9">
        <v>0.34736566158334053</v>
      </c>
      <c r="O9">
        <v>-0.44730988010540385</v>
      </c>
      <c r="P9" s="89">
        <v>-1.5139404881252134E-16</v>
      </c>
    </row>
    <row r="10" spans="1:16" ht="15.75" thickBot="1">
      <c r="A10" s="90" t="s">
        <v>50</v>
      </c>
      <c r="B10" s="95">
        <v>-8.2456433310738694E-2</v>
      </c>
      <c r="C10" s="95">
        <v>0.26232847057605951</v>
      </c>
      <c r="D10" s="80">
        <v>-4.0371746350005693E-17</v>
      </c>
      <c r="E10" s="90" t="s">
        <v>50</v>
      </c>
      <c r="F10" s="95">
        <v>0.88935153070868389</v>
      </c>
      <c r="G10" s="95">
        <v>0.50687196009611524</v>
      </c>
      <c r="H10" s="80">
        <v>-4.0371746350005693E-17</v>
      </c>
      <c r="I10" s="90" t="s">
        <v>50</v>
      </c>
      <c r="J10" s="95">
        <v>-1.2486259901340457</v>
      </c>
      <c r="K10" s="95">
        <v>-1.4005672581603195</v>
      </c>
      <c r="L10" s="37">
        <v>-4.0371746350005693E-17</v>
      </c>
      <c r="M10" s="91" t="s">
        <v>50</v>
      </c>
      <c r="N10" s="26">
        <v>-2.2204339541534686</v>
      </c>
      <c r="O10" s="25">
        <v>-1.5962020497763643</v>
      </c>
      <c r="P10" s="92">
        <v>-4.0371746350005693E-17</v>
      </c>
    </row>
    <row r="11" spans="1:16" ht="15.75" thickBot="1">
      <c r="A11" s="248" t="s">
        <v>16</v>
      </c>
      <c r="B11" s="249"/>
      <c r="C11" s="249"/>
      <c r="D11" s="250"/>
      <c r="E11" s="248" t="s">
        <v>17</v>
      </c>
      <c r="F11" s="249"/>
      <c r="G11" s="249"/>
      <c r="H11" s="250"/>
      <c r="I11" s="248" t="s">
        <v>18</v>
      </c>
      <c r="J11" s="249"/>
      <c r="K11" s="249"/>
      <c r="L11" s="249"/>
      <c r="M11" s="251" t="s">
        <v>19</v>
      </c>
      <c r="N11" s="249"/>
      <c r="O11" s="249"/>
      <c r="P11" s="252"/>
    </row>
    <row r="12" spans="1:16">
      <c r="A12" s="85"/>
      <c r="B12" s="86">
        <v>2015</v>
      </c>
      <c r="C12" s="87">
        <v>2023</v>
      </c>
      <c r="D12" s="79" t="s">
        <v>51</v>
      </c>
      <c r="E12" s="85"/>
      <c r="F12" s="86">
        <v>2015</v>
      </c>
      <c r="G12" s="87">
        <v>2023</v>
      </c>
      <c r="H12" s="79" t="s">
        <v>51</v>
      </c>
      <c r="I12" s="85"/>
      <c r="J12" s="86">
        <v>2015</v>
      </c>
      <c r="K12" s="87">
        <v>2023</v>
      </c>
      <c r="L12" t="s">
        <v>51</v>
      </c>
      <c r="M12" s="88"/>
      <c r="N12" s="86">
        <v>2015</v>
      </c>
      <c r="O12" s="87">
        <v>2023</v>
      </c>
      <c r="P12" s="89" t="s">
        <v>51</v>
      </c>
    </row>
    <row r="13" spans="1:16">
      <c r="A13" s="85" t="s">
        <v>43</v>
      </c>
      <c r="B13">
        <v>0.43457879711285113</v>
      </c>
      <c r="C13">
        <v>0.76204632770663339</v>
      </c>
      <c r="D13" s="79">
        <v>-2.6241635127503701E-16</v>
      </c>
      <c r="E13" s="85" t="s">
        <v>43</v>
      </c>
      <c r="F13">
        <v>-0.65591299441937756</v>
      </c>
      <c r="G13">
        <v>-1.1046943846480111</v>
      </c>
      <c r="H13" s="79">
        <v>-2.6241635127503701E-16</v>
      </c>
      <c r="I13" s="85" t="s">
        <v>43</v>
      </c>
      <c r="J13">
        <v>-7.2261997930523703E-3</v>
      </c>
      <c r="K13">
        <v>-0.4502292353418621</v>
      </c>
      <c r="L13">
        <v>-2.6241635127503701E-16</v>
      </c>
      <c r="M13" s="88" t="s">
        <v>43</v>
      </c>
      <c r="N13">
        <v>5.2330681368880127E-3</v>
      </c>
      <c r="O13">
        <v>-0.37360067191428947</v>
      </c>
      <c r="P13" s="89">
        <v>-2.6241635127503701E-16</v>
      </c>
    </row>
    <row r="14" spans="1:16">
      <c r="A14" s="85" t="s">
        <v>44</v>
      </c>
      <c r="B14">
        <v>-1.1037244704559606</v>
      </c>
      <c r="C14">
        <v>-0.23494127202207934</v>
      </c>
      <c r="D14" s="79">
        <v>-2.3819330346503357E-15</v>
      </c>
      <c r="E14" s="85" t="s">
        <v>44</v>
      </c>
      <c r="F14">
        <v>-0.99995550314813442</v>
      </c>
      <c r="G14">
        <v>-1.3346663751041288</v>
      </c>
      <c r="H14" s="79">
        <v>-2.3819330346503357E-15</v>
      </c>
      <c r="I14" s="85" t="s">
        <v>44</v>
      </c>
      <c r="J14">
        <v>-0.53299515026291999</v>
      </c>
      <c r="K14">
        <v>-0.72981756840899692</v>
      </c>
      <c r="L14">
        <v>-2.3819330346503357E-15</v>
      </c>
      <c r="M14" s="88" t="s">
        <v>44</v>
      </c>
      <c r="N14">
        <v>0.40092555550750142</v>
      </c>
      <c r="O14">
        <v>0.20494876921074673</v>
      </c>
      <c r="P14" s="89">
        <v>-2.3819330346503357E-15</v>
      </c>
    </row>
    <row r="15" spans="1:16">
      <c r="A15" s="85" t="s">
        <v>45</v>
      </c>
      <c r="B15">
        <v>-1.1083844182884139</v>
      </c>
      <c r="C15">
        <v>-0.99942733458701905</v>
      </c>
      <c r="D15" s="79">
        <v>2.1195166833752989E-16</v>
      </c>
      <c r="E15" s="85" t="s">
        <v>45</v>
      </c>
      <c r="F15">
        <v>-0.28003767680747577</v>
      </c>
      <c r="G15">
        <v>-0.52234221071812104</v>
      </c>
      <c r="H15" s="79">
        <v>2.1195166833752989E-16</v>
      </c>
      <c r="I15" s="85" t="s">
        <v>45</v>
      </c>
      <c r="J15">
        <v>0.3412223793032278</v>
      </c>
      <c r="K15">
        <v>0.16217122787638413</v>
      </c>
      <c r="L15">
        <v>2.1195166833752989E-16</v>
      </c>
      <c r="M15" s="88" t="s">
        <v>45</v>
      </c>
      <c r="N15">
        <v>-0.36287235095556969</v>
      </c>
      <c r="O15">
        <v>0.53554219438247841</v>
      </c>
      <c r="P15" s="89">
        <v>2.1195166833752989E-16</v>
      </c>
    </row>
    <row r="16" spans="1:16">
      <c r="A16" s="85" t="s">
        <v>46</v>
      </c>
      <c r="B16">
        <v>-0.95697265535075837</v>
      </c>
      <c r="C16">
        <v>-1.3560528745966203</v>
      </c>
      <c r="D16" s="79">
        <v>-2.0312034882346614E-16</v>
      </c>
      <c r="E16" s="85" t="s">
        <v>46</v>
      </c>
      <c r="F16">
        <v>-0.57340871656644632</v>
      </c>
      <c r="G16">
        <v>5.8450554939508841E-2</v>
      </c>
      <c r="H16" s="79">
        <v>-2.0312034882346614E-16</v>
      </c>
      <c r="I16" s="85" t="s">
        <v>46</v>
      </c>
      <c r="J16">
        <v>0.76906506917864637</v>
      </c>
      <c r="K16">
        <v>0.73355446449084361</v>
      </c>
      <c r="L16">
        <v>-2.0312034882346614E-16</v>
      </c>
      <c r="M16" s="88" t="s">
        <v>46</v>
      </c>
      <c r="N16">
        <v>-0.65864514740740476</v>
      </c>
      <c r="O16">
        <v>-1.2274616537296994</v>
      </c>
      <c r="P16" s="89">
        <v>-2.0312034882346614E-16</v>
      </c>
    </row>
    <row r="17" spans="1:16">
      <c r="A17" s="85" t="s">
        <v>47</v>
      </c>
      <c r="B17">
        <v>-0.67617047850761014</v>
      </c>
      <c r="C17">
        <v>-0.47813052471986023</v>
      </c>
      <c r="D17" s="79">
        <v>0</v>
      </c>
      <c r="E17" s="85" t="s">
        <v>47</v>
      </c>
      <c r="F17">
        <v>5.7522612703229524E-2</v>
      </c>
      <c r="G17">
        <v>-0.14759968546255403</v>
      </c>
      <c r="H17" s="79">
        <v>0</v>
      </c>
      <c r="I17" s="85" t="s">
        <v>47</v>
      </c>
      <c r="J17">
        <v>1.2762410024662019</v>
      </c>
      <c r="K17">
        <v>1.8482980746681044</v>
      </c>
      <c r="L17">
        <v>0</v>
      </c>
      <c r="M17" s="88" t="s">
        <v>47</v>
      </c>
      <c r="N17">
        <v>-0.33886862113886834</v>
      </c>
      <c r="O17">
        <v>1.2217423628891303E-2</v>
      </c>
      <c r="P17" s="89">
        <v>0</v>
      </c>
    </row>
    <row r="18" spans="1:16">
      <c r="A18" s="85" t="s">
        <v>48</v>
      </c>
      <c r="B18">
        <v>-7.5264445060928192E-2</v>
      </c>
      <c r="C18">
        <v>-1.3091204257698208</v>
      </c>
      <c r="D18" s="79">
        <v>-1.6653345369377348E-16</v>
      </c>
      <c r="E18" s="85" t="s">
        <v>48</v>
      </c>
      <c r="F18">
        <v>-0.40233956433804774</v>
      </c>
      <c r="G18">
        <v>-1.0361284886424647</v>
      </c>
      <c r="H18" s="79">
        <v>-1.6653345369377348E-16</v>
      </c>
      <c r="I18" s="85" t="s">
        <v>48</v>
      </c>
      <c r="J18">
        <v>0.9468453026800695</v>
      </c>
      <c r="K18">
        <v>0.60182313412167121</v>
      </c>
      <c r="L18">
        <v>-1.6653345369377348E-16</v>
      </c>
      <c r="M18" s="88" t="s">
        <v>48</v>
      </c>
      <c r="N18">
        <v>0.49711701367403066</v>
      </c>
      <c r="O18">
        <v>1.4890469297855777</v>
      </c>
      <c r="P18" s="89">
        <v>-1.6653345369377348E-16</v>
      </c>
    </row>
    <row r="19" spans="1:16">
      <c r="A19" s="85" t="s">
        <v>49</v>
      </c>
      <c r="B19">
        <v>-0.2565016193163091</v>
      </c>
      <c r="C19">
        <v>-0.46365675280028568</v>
      </c>
      <c r="D19" s="79">
        <v>-1.5139404881252134E-16</v>
      </c>
      <c r="E19" s="85" t="s">
        <v>49</v>
      </c>
      <c r="F19">
        <v>-0.31897064837489375</v>
      </c>
      <c r="G19">
        <v>-0.67616609783374981</v>
      </c>
      <c r="H19" s="79">
        <v>-1.5139404881252134E-16</v>
      </c>
      <c r="I19" s="85" t="s">
        <v>49</v>
      </c>
      <c r="J19">
        <v>-0.38143967743347834</v>
      </c>
      <c r="K19">
        <v>0.28829939116428016</v>
      </c>
      <c r="L19">
        <v>-1.5139404881252134E-16</v>
      </c>
      <c r="M19" s="88" t="s">
        <v>49</v>
      </c>
      <c r="N19">
        <v>0.46189221485741228</v>
      </c>
      <c r="O19">
        <v>0.8440930627902633</v>
      </c>
      <c r="P19" s="89">
        <v>-1.5139404881252134E-16</v>
      </c>
    </row>
    <row r="20" spans="1:16" ht="15.75" thickBot="1">
      <c r="A20" s="90" t="s">
        <v>50</v>
      </c>
      <c r="B20" s="95">
        <v>1.0189259259112737</v>
      </c>
      <c r="C20" s="95">
        <v>0.89814154332820439</v>
      </c>
      <c r="D20" s="95">
        <v>-4.0371746350005693E-17</v>
      </c>
      <c r="E20" s="95" t="s">
        <v>50</v>
      </c>
      <c r="F20" s="95">
        <v>0.56541554270220973</v>
      </c>
      <c r="G20" s="95">
        <v>-0.76475418540817452</v>
      </c>
      <c r="H20" s="95">
        <v>-4.0371746350005693E-17</v>
      </c>
      <c r="I20" s="95" t="s">
        <v>50</v>
      </c>
      <c r="J20" s="95">
        <v>0.50062834510091447</v>
      </c>
      <c r="K20" s="95">
        <v>0.55578065800012666</v>
      </c>
      <c r="L20" s="95">
        <v>-4.0371746350005693E-17</v>
      </c>
      <c r="M20" s="95" t="s">
        <v>50</v>
      </c>
      <c r="N20" s="95">
        <v>-0.6007540141210973</v>
      </c>
      <c r="O20" s="95">
        <v>-1.1560237686402637</v>
      </c>
      <c r="P20" s="92">
        <v>-4.0371746350005693E-17</v>
      </c>
    </row>
    <row r="21" spans="1:16" ht="15.75" thickBot="1">
      <c r="A21" s="248" t="s">
        <v>20</v>
      </c>
      <c r="B21" s="249"/>
      <c r="C21" s="249"/>
      <c r="D21" s="250"/>
      <c r="E21" s="248" t="s">
        <v>21</v>
      </c>
      <c r="F21" s="249"/>
      <c r="G21" s="249"/>
      <c r="H21" s="250"/>
      <c r="I21" s="248" t="s">
        <v>22</v>
      </c>
      <c r="J21" s="249"/>
      <c r="K21" s="249"/>
      <c r="L21" s="249"/>
      <c r="M21" s="96"/>
      <c r="N21" s="36"/>
      <c r="O21" s="36"/>
      <c r="P21" s="93"/>
    </row>
    <row r="22" spans="1:16">
      <c r="A22" s="85"/>
      <c r="B22" s="86">
        <v>2015</v>
      </c>
      <c r="C22" s="87">
        <v>2023</v>
      </c>
      <c r="D22" s="79" t="s">
        <v>51</v>
      </c>
      <c r="E22" s="85"/>
      <c r="F22" s="86">
        <v>2015</v>
      </c>
      <c r="G22" s="87">
        <v>2023</v>
      </c>
      <c r="H22" s="79" t="s">
        <v>51</v>
      </c>
      <c r="I22" s="85"/>
      <c r="J22" s="86">
        <v>2015</v>
      </c>
      <c r="K22" s="87">
        <v>2023</v>
      </c>
      <c r="L22" t="s">
        <v>51</v>
      </c>
      <c r="M22" s="88"/>
      <c r="N22" s="39"/>
      <c r="O22" s="39"/>
    </row>
    <row r="23" spans="1:16">
      <c r="A23" s="85" t="s">
        <v>43</v>
      </c>
      <c r="B23">
        <v>-1.2388264443922912</v>
      </c>
      <c r="C23">
        <v>-0.41679075744311761</v>
      </c>
      <c r="D23" s="79">
        <v>-2.6241635127503701E-16</v>
      </c>
      <c r="E23" s="85" t="s">
        <v>43</v>
      </c>
      <c r="F23">
        <v>0.73778651123219807</v>
      </c>
      <c r="G23">
        <v>1.3121969613231379</v>
      </c>
      <c r="H23" s="79">
        <v>-2.6241635127503701E-16</v>
      </c>
      <c r="I23" s="85" t="s">
        <v>43</v>
      </c>
      <c r="J23">
        <v>1.0117938222185814</v>
      </c>
      <c r="K23">
        <v>1.3121969613231379</v>
      </c>
      <c r="L23">
        <v>-2.6241635127503701E-16</v>
      </c>
      <c r="M23" s="88"/>
    </row>
    <row r="24" spans="1:16">
      <c r="A24" s="85" t="s">
        <v>44</v>
      </c>
      <c r="B24">
        <v>-0.94807101949421757</v>
      </c>
      <c r="C24">
        <v>-0.89477633387130284</v>
      </c>
      <c r="D24" s="79">
        <v>-2.3819330346503357E-15</v>
      </c>
      <c r="E24" s="85" t="s">
        <v>44</v>
      </c>
      <c r="F24">
        <v>-1.4150313723796163E-2</v>
      </c>
      <c r="G24">
        <v>9.4976258902540217E-2</v>
      </c>
      <c r="H24" s="79">
        <v>-2.3819330346503357E-15</v>
      </c>
      <c r="I24" s="85" t="s">
        <v>44</v>
      </c>
      <c r="J24">
        <v>2.1649979997405255</v>
      </c>
      <c r="K24">
        <v>2.1844539547584327</v>
      </c>
      <c r="L24">
        <v>-2.3819330346503357E-15</v>
      </c>
      <c r="M24" s="88"/>
    </row>
    <row r="25" spans="1:16">
      <c r="A25" s="85" t="s">
        <v>45</v>
      </c>
      <c r="B25">
        <v>-1.4190144463437657</v>
      </c>
      <c r="C25">
        <v>-1.6217122787638421</v>
      </c>
      <c r="D25" s="79">
        <v>2.1195166833752989E-16</v>
      </c>
      <c r="E25" s="85" t="s">
        <v>45</v>
      </c>
      <c r="F25">
        <v>-5.2242322900218095E-2</v>
      </c>
      <c r="G25">
        <v>-0.56382787366324272</v>
      </c>
      <c r="H25" s="79">
        <v>2.1195166833752989E-16</v>
      </c>
      <c r="I25" s="85" t="s">
        <v>45</v>
      </c>
      <c r="J25">
        <v>2.0134473636678711</v>
      </c>
      <c r="K25">
        <v>1.7178835883184422</v>
      </c>
      <c r="L25">
        <v>2.1195166833752989E-16</v>
      </c>
      <c r="M25" s="88"/>
    </row>
    <row r="26" spans="1:16">
      <c r="A26" s="85" t="s">
        <v>46</v>
      </c>
      <c r="B26">
        <v>2.367248147446614</v>
      </c>
      <c r="C26">
        <v>2.0837622835935119</v>
      </c>
      <c r="D26" s="79">
        <v>-2.0312034882346614E-16</v>
      </c>
      <c r="E26" s="85" t="s">
        <v>46</v>
      </c>
      <c r="F26">
        <v>-0.78649979366884204</v>
      </c>
      <c r="G26">
        <v>-0.97027921199585754</v>
      </c>
      <c r="H26" s="79">
        <v>-2.0312034882346614E-16</v>
      </c>
      <c r="I26" s="85" t="s">
        <v>46</v>
      </c>
      <c r="J26">
        <v>-0.18984477778213429</v>
      </c>
      <c r="K26">
        <v>0.18704177580642919</v>
      </c>
      <c r="L26">
        <v>-2.0312034882346614E-16</v>
      </c>
      <c r="M26" s="88"/>
    </row>
    <row r="27" spans="1:16">
      <c r="A27" s="85" t="s">
        <v>47</v>
      </c>
      <c r="B27">
        <v>-0.70571516674428825</v>
      </c>
      <c r="C27">
        <v>-7.8587751991247831E-2</v>
      </c>
      <c r="D27" s="79">
        <v>0</v>
      </c>
      <c r="E27" s="85" t="s">
        <v>47</v>
      </c>
      <c r="F27">
        <v>-0.97161736087439132</v>
      </c>
      <c r="G27">
        <v>-0.87404109042366673</v>
      </c>
      <c r="H27" s="79">
        <v>0</v>
      </c>
      <c r="I27" s="85" t="s">
        <v>47</v>
      </c>
      <c r="J27">
        <v>0.15108079211937708</v>
      </c>
      <c r="K27">
        <v>-0.60525777058805486</v>
      </c>
      <c r="L27">
        <v>0</v>
      </c>
      <c r="M27" s="88"/>
    </row>
    <row r="28" spans="1:16">
      <c r="A28" s="85" t="s">
        <v>48</v>
      </c>
      <c r="B28">
        <v>0.21092628430655089</v>
      </c>
      <c r="C28">
        <v>-0.42189663010591361</v>
      </c>
      <c r="D28" s="79">
        <v>-1.6653345369377348E-16</v>
      </c>
      <c r="E28" s="85" t="s">
        <v>48</v>
      </c>
      <c r="F28">
        <v>-3.4380055151288426E-2</v>
      </c>
      <c r="G28">
        <v>0.8748150712490268</v>
      </c>
      <c r="H28" s="79">
        <v>-1.6653345369377348E-16</v>
      </c>
      <c r="I28" s="85" t="s">
        <v>48</v>
      </c>
      <c r="J28">
        <v>-1.0564898028922862</v>
      </c>
      <c r="K28">
        <v>-0.55839259866959168</v>
      </c>
      <c r="L28">
        <v>-1.6653345369377348E-16</v>
      </c>
      <c r="M28" s="88"/>
    </row>
    <row r="29" spans="1:16">
      <c r="A29" s="85" t="s">
        <v>49</v>
      </c>
      <c r="B29">
        <v>-1.8286388506240185</v>
      </c>
      <c r="C29">
        <v>-1.7223659503061892</v>
      </c>
      <c r="D29" s="79">
        <v>-1.5139404881252134E-16</v>
      </c>
      <c r="E29" s="85" t="s">
        <v>49</v>
      </c>
      <c r="F29">
        <v>1.0032904666984777</v>
      </c>
      <c r="G29">
        <v>0.63158371775679922</v>
      </c>
      <c r="H29" s="79">
        <v>-1.5139404881252134E-16</v>
      </c>
      <c r="I29" s="85" t="s">
        <v>49</v>
      </c>
      <c r="J29">
        <v>0.96164444732608811</v>
      </c>
      <c r="K29">
        <v>1.269111752857192</v>
      </c>
      <c r="L29">
        <v>-1.5139404881252134E-16</v>
      </c>
      <c r="M29" s="88"/>
    </row>
    <row r="30" spans="1:16" ht="15.75" thickBot="1">
      <c r="A30" s="90" t="s">
        <v>50</v>
      </c>
      <c r="B30" s="95">
        <v>1.2456811175158053</v>
      </c>
      <c r="C30" s="95">
        <v>1.5828633139843606</v>
      </c>
      <c r="D30" s="95">
        <v>-4.0371746350005693E-17</v>
      </c>
      <c r="E30" s="95" t="s">
        <v>50</v>
      </c>
      <c r="F30" s="95">
        <v>0.2738731534963828</v>
      </c>
      <c r="G30" s="95">
        <v>0.50687196009611524</v>
      </c>
      <c r="H30" s="95">
        <v>-4.0371746350005693E-17</v>
      </c>
      <c r="I30" s="95" t="s">
        <v>50</v>
      </c>
      <c r="J30" s="95">
        <v>-0.34160522371591828</v>
      </c>
      <c r="K30" s="95">
        <v>0.60468935590413764</v>
      </c>
      <c r="L30" s="37">
        <v>-4.0371746350005693E-17</v>
      </c>
      <c r="M30" s="88"/>
    </row>
    <row r="80" spans="30:32">
      <c r="AD80" s="39"/>
      <c r="AE80" s="39"/>
      <c r="AF80" s="39"/>
    </row>
    <row r="81" spans="30:32">
      <c r="AD81" s="39"/>
      <c r="AE81" s="39"/>
      <c r="AF81" s="39"/>
    </row>
    <row r="82" spans="30:32">
      <c r="AD82" s="39"/>
      <c r="AE82" s="39"/>
      <c r="AF82" s="39"/>
    </row>
    <row r="83" spans="30:32">
      <c r="AD83" s="39"/>
      <c r="AE83" s="39"/>
      <c r="AF83" s="39"/>
    </row>
    <row r="84" spans="30:32">
      <c r="AD84" s="39"/>
      <c r="AE84" s="39"/>
      <c r="AF84" s="39"/>
    </row>
    <row r="85" spans="30:32">
      <c r="AD85" s="39"/>
      <c r="AE85" s="39"/>
      <c r="AF85" s="39"/>
    </row>
    <row r="86" spans="30:32">
      <c r="AD86" s="39"/>
      <c r="AE86" s="39"/>
      <c r="AF86" s="39"/>
    </row>
    <row r="87" spans="30:32">
      <c r="AD87" s="39"/>
      <c r="AE87" s="39"/>
      <c r="AF87" s="39"/>
    </row>
    <row r="88" spans="30:32">
      <c r="AD88" s="39"/>
      <c r="AE88" s="39"/>
      <c r="AF88" s="39"/>
    </row>
    <row r="89" spans="30:32">
      <c r="AD89" s="39"/>
      <c r="AE89" s="39"/>
      <c r="AF89" s="39"/>
    </row>
    <row r="90" spans="30:32">
      <c r="AD90" s="39"/>
      <c r="AE90" s="39"/>
      <c r="AF90" s="39"/>
    </row>
    <row r="91" spans="30:32">
      <c r="AD91" s="39"/>
      <c r="AE91" s="39"/>
      <c r="AF91" s="39"/>
    </row>
    <row r="92" spans="30:32">
      <c r="AD92" s="39"/>
      <c r="AE92" s="39"/>
      <c r="AF92" s="39"/>
    </row>
    <row r="93" spans="30:32">
      <c r="AD93" s="39"/>
      <c r="AE93" s="39"/>
      <c r="AF93" s="39"/>
    </row>
    <row r="94" spans="30:32">
      <c r="AD94" s="39"/>
      <c r="AE94" s="39"/>
      <c r="AF94" s="39"/>
    </row>
    <row r="95" spans="30:32">
      <c r="AD95" s="39"/>
      <c r="AE95" s="39"/>
      <c r="AF95" s="39"/>
    </row>
    <row r="96" spans="30:32">
      <c r="AD96" s="39"/>
      <c r="AE96" s="39"/>
      <c r="AF96" s="39"/>
    </row>
    <row r="97" spans="23:32">
      <c r="AD97" s="39"/>
      <c r="AE97" s="39"/>
      <c r="AF97" s="39"/>
    </row>
    <row r="98" spans="23:32">
      <c r="AD98" s="39"/>
      <c r="AE98" s="39"/>
      <c r="AF98" s="39"/>
    </row>
    <row r="99" spans="23:32">
      <c r="AD99" s="39"/>
      <c r="AE99" s="39"/>
      <c r="AF99" s="39"/>
    </row>
    <row r="100" spans="23:32">
      <c r="AD100" s="39"/>
      <c r="AE100" s="39"/>
      <c r="AF100" s="39"/>
    </row>
    <row r="101" spans="23:32">
      <c r="AD101" s="39"/>
      <c r="AE101" s="39"/>
      <c r="AF101" s="39"/>
    </row>
    <row r="102" spans="23:32">
      <c r="AD102" s="39"/>
      <c r="AE102" s="39"/>
      <c r="AF102" s="39"/>
    </row>
    <row r="103" spans="23:32">
      <c r="AD103" s="39"/>
      <c r="AE103" s="39"/>
      <c r="AF103" s="39"/>
    </row>
    <row r="104" spans="23:32">
      <c r="AD104" s="39"/>
      <c r="AE104" s="39"/>
      <c r="AF104" s="39"/>
    </row>
    <row r="105" spans="23:32">
      <c r="AD105" s="39"/>
      <c r="AE105" s="39"/>
      <c r="AF105" s="39"/>
    </row>
    <row r="106" spans="23:32">
      <c r="AD106" s="39"/>
      <c r="AE106" s="39"/>
      <c r="AF106" s="39"/>
    </row>
    <row r="107" spans="23:32">
      <c r="AD107" s="39"/>
      <c r="AE107" s="39"/>
      <c r="AF107" s="39"/>
    </row>
    <row r="108" spans="23:32"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</row>
    <row r="109" spans="23:32">
      <c r="W109" s="39"/>
      <c r="X109" s="39"/>
      <c r="Y109" s="39"/>
      <c r="Z109" s="39"/>
      <c r="AA109" s="39"/>
      <c r="AB109" s="39"/>
      <c r="AC109" s="39"/>
      <c r="AD109" s="39"/>
      <c r="AE109" s="39"/>
      <c r="AF109" s="39"/>
    </row>
    <row r="110" spans="23:32"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</row>
    <row r="111" spans="23:32"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</row>
    <row r="112" spans="23:32"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</row>
    <row r="113" spans="23:32"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</row>
    <row r="114" spans="23:32"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</row>
    <row r="115" spans="23:32"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</row>
    <row r="116" spans="23:32"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</row>
    <row r="117" spans="23:32"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spans="23:32"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spans="23:32"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</row>
    <row r="120" spans="23:32"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</row>
    <row r="121" spans="23:32"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</row>
    <row r="122" spans="23:32"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</row>
    <row r="123" spans="23:32"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</row>
  </sheetData>
  <mergeCells count="11">
    <mergeCell ref="M1:P1"/>
    <mergeCell ref="A11:D11"/>
    <mergeCell ref="E11:H11"/>
    <mergeCell ref="I11:L11"/>
    <mergeCell ref="M11:P11"/>
    <mergeCell ref="A21:D21"/>
    <mergeCell ref="E21:H21"/>
    <mergeCell ref="I21:L21"/>
    <mergeCell ref="A1:D1"/>
    <mergeCell ref="E1:H1"/>
    <mergeCell ref="I1:L1"/>
  </mergeCells>
  <pageMargins left="0.7" right="0.7" top="0.75" bottom="0.75" header="0.3" footer="0.3"/>
  <pageSetup paperSize="9" fitToWidth="0" orientation="landscape"/>
  <drawing r:id="rId1"/>
</worksheet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Wierzchowski,Emanuel,PL-Warszawa,IT Workforce 360</dc:creator>
  <cp:keywords/>
  <dc:description/>
  <cp:lastModifiedBy>Emanuel Wierzchowski</cp:lastModifiedBy>
  <cp:revision/>
  <dcterms:created xsi:type="dcterms:W3CDTF">2025-11-16T20:15:56Z</dcterms:created>
  <dcterms:modified xsi:type="dcterms:W3CDTF">2025-11-20T22:51:36Z</dcterms:modified>
  <cp:category/>
  <cp:contentStatus/>
</cp:coreProperties>
</file>